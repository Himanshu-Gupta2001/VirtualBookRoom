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AC Traceability" sheetId="3" state="visible" r:id="rId5"/>
    <sheet name="Parity Matrix" sheetId="4" state="visible" r:id="rId6"/>
    <sheet name="To Confirm" sheetId="5" state="visible" r:id="rId7"/>
    <sheet name="Test Setup" sheetId="6" state="visible" r:id="rId8"/>
    <sheet name="Test Cases" sheetId="7" state="visible" r:id="rId9"/>
  </sheets>
  <definedNames>
    <definedName function="false" hidden="true" localSheetId="2" name="_xlnm._FilterDatabase" vbProcedure="false">'AC Traceability'!$A$1:$G$18</definedName>
    <definedName function="false" hidden="true" localSheetId="3" name="_xlnm._FilterDatabase" vbProcedure="false">'Parity Matrix'!$A$1:$F$42</definedName>
    <definedName function="false" hidden="true" localSheetId="6" name="_xlnm._FilterDatabase" vbProcedure="false">'Test Cases'!$A$1:$I$56</definedName>
    <definedName function="false" hidden="true" localSheetId="4" name="_xlnm._FilterDatabase" vbProcedure="false">'To Confirm'!$A$1:$E$11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<sst xmlns="http://schemas.openxmlformats.org/spreadsheetml/2006/main" count="1013" uniqueCount="740">
  <si>
    <t xml:space="preserve">GEE-72810 - External CFP refactor: validation workbook</t>
  </si>
  <si>
    <t xml:space="preserve">Prepared for developer (unit) testing of CFP_External_Refactored_GEE-72810.txt</t>
  </si>
  <si>
    <t xml:space="preserve">SHEETS</t>
  </si>
  <si>
    <t xml:space="preserve">AC Traceability - each of the 6 acceptance-criteria scenarios (plus the story notes and your review instructions) mapped to where it is implemented, the evidence, and the test cases that prove it.</t>
  </si>
  <si>
    <t xml:space="preserve">Parity Matrix - every function of the EXISTING External CFP compared with the refactored page: identical, intentionally changed, or removed because the AC says so. Nothing is skipped silently.</t>
  </si>
  <si>
    <t xml:space="preserve">To Confirm - the few behaviour differences that need your decision / a sandbox check. Read this first.</t>
  </si>
  <si>
    <t xml:space="preserve">Test Setup - base Postman payload, how to force each failure, and the queries to verify results.</t>
  </si>
  <si>
    <t xml:space="preserve">Test Cases - 55 developer test cases. Fill the Result column (dropdown) and Actual / Notes. The Summary sheet counts the results automatically.</t>
  </si>
  <si>
    <t xml:space="preserve">HOW THE PARITY AUDIT WAS DONE</t>
  </si>
  <si>
    <t xml:space="preserve">1) All Salesforce / Data Extension / HTTP calls were extracted from both pages by script and compared (call, target object or DE, count). 18 operations are identical in count; every difference is listed in the Parity Matrix.</t>
  </si>
  <si>
    <t xml:space="preserve">2) The 20-attribute Lead create, the 10-attribute Lead update, the staging insert (53 columns), preference and audit inserts were compared field by field: identical, except Inquiry_Type removed from the promotion insert and the Contact Us create variants removed.</t>
  </si>
  <si>
    <t xml:space="preserve">3) The 53 posted parameters and 53 length limits were compared: only Inquiry_Type removed; Full_Page_URL is now actually read. Character-set regexes and the list of regex-checked fields are identical.</t>
  </si>
  <si>
    <t xml:space="preserve">4) The unchanged blocks (preferences, name retrieval, subscriber activation, credential decrypt, GEE-18206 safety net) are copied verbatim from the existing page.</t>
  </si>
  <si>
    <t xml:space="preserve">IMPORTANT</t>
  </si>
  <si>
    <t xml:space="preserve">The refactored page was NOT executed by the author - only checked structurally (script syntax, block balance, argument pairing) and by a helper-function harness. Your Sandbox run plus this workbook is the functional proof.</t>
  </si>
  <si>
    <t xml:space="preserve">Best method for parity: send the SAME payload to the OLD page and the NEW page (separate emails) and compare the DE rows and Salesforce records (test cases TC-41 to TC-47).</t>
  </si>
  <si>
    <t xml:space="preserve">Test execution summary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</si>
  <si>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</si>
  <si>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</si>
  <si>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</si>
  <si>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</si>
  <si>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</si>
  <si>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(of executed)</t>
  </si>
  <si>
    <t xml:space="preserve">Scenario</t>
  </si>
  <si>
    <t xml:space="preserve">Acceptance criterion / requirement</t>
  </si>
  <si>
    <t xml:space="preserve">How it is implemented</t>
  </si>
  <si>
    <t xml:space="preserve">Where in the code (search for)</t>
  </si>
  <si>
    <t xml:space="preserve">Evidence</t>
  </si>
  <si>
    <t xml:space="preserve">Status</t>
  </si>
  <si>
    <t xml:space="preserve">Test cases</t>
  </si>
  <si>
    <t xml:space="preserve">S1</t>
  </si>
  <si>
    <t xml:space="preserve">Inquiry Type checks and associated conditional branches are removed from the External CloudPage</t>
  </si>
  <si>
    <t xml:space="preserve">Inquiry_Type parameter, its length/character checks, the Contact Us staging/lead block (NoLead list, RFP link, Contact owner lookup, Lead_Source_Detail override), and every IF on Inquiry_Type were deleted. Promotion no longer needs an Inquiry_Type guard.</t>
  </si>
  <si>
    <t xml:space="preserve">Stage 1 (parameters), Stage 1b (field table), Stage 3 (promotion)</t>
  </si>
  <si>
    <t xml:space="preserve">Parameter audit: only Inquiry_Type removed. Word "Inquiry" appears 4 times in the file, all inside comments explaining the removal. Old blocks at old lines 449-513 and the Inquiry guards are gone.</t>
  </si>
  <si>
    <t xml:space="preserve">Met</t>
  </si>
  <si>
    <t xml:space="preserve">TC-19, TC-20</t>
  </si>
  <si>
    <t xml:space="preserve">No Inquiry Type-dependent code remains</t>
  </si>
  <si>
    <t xml:space="preserve">The Inquiry_Type column is no longer written to Centralized_Form_Processor_DE (56 columns instead of 57).</t>
  </si>
  <si>
    <t xml:space="preserve">Stage 3 insert</t>
  </si>
  <si>
    <t xml:space="preserve">Insert compared field by field with old: only difference is Inquiry_Type. Prerequisite: the DE column must accept empty values.</t>
  </si>
  <si>
    <t xml:space="preserve">Met (prerequisite)</t>
  </si>
  <si>
    <t xml:space="preserve">TC-19, TC-48</t>
  </si>
  <si>
    <t xml:space="preserve">S2</t>
  </si>
  <si>
    <t xml:space="preserve">Contact Us journey conditions and execution logic are removed</t>
  </si>
  <si>
    <t xml:space="preserve">The Contact Us event key (eventDefzJGXe6xFqbsNVYTw), its payload and the IF/ELSE routing are gone. The Internal Notification journey is not present either (it never existed on the External page).</t>
  </si>
  <si>
    <t xml:space="preserve">Stage 8</t>
  </si>
  <si>
    <t xml:space="preserve">Search the file for eventDefz / ContactUs / Notification: no code hits (only comments).</t>
  </si>
  <si>
    <t xml:space="preserve">TC-21, TC-25</t>
  </si>
  <si>
    <t xml:space="preserve">(Your instruction) CFP journey event key comes from the DE as in Internal CFP</t>
  </si>
  <si>
    <t xml:space="preserve">Key is read from ENT.Journey_API_Event_Key_Config_DE by MID, column CentralizedFormProcessor_Journey. Hard-coded APIEvent-a53a90f2... removed. Missing key is logged (non-fatal).</t>
  </si>
  <si>
    <t xml:space="preserve">Stage 8 (c)</t>
  </si>
  <si>
    <t xml:space="preserve">Same lookup and column names as the Internal backend page.</t>
  </si>
  <si>
    <t xml:space="preserve">Met (prerequisite: config row for the External BU MID)</t>
  </si>
  <si>
    <t xml:space="preserve">TC-21, TC-22</t>
  </si>
  <si>
    <t xml:space="preserve">S3</t>
  </si>
  <si>
    <t xml:space="preserve">Duplicated lead create/update logic is consolidated into a single flow</t>
  </si>
  <si>
    <t xml:space="preserve">Old page had 4 Lead creates and 3 Lead updates (two identical Function branches plus the Inquiry paths). New page has 1 create and 1 update.</t>
  </si>
  <si>
    <t xml:space="preserve">Stage 2.4 (create), Stage 2.5 (update)</t>
  </si>
  <si>
    <t xml:space="preserve">Script comparison: old standard creates and updates are field-for-field equal to the new ones.</t>
  </si>
  <si>
    <t xml:space="preserve">TC-01 to TC-05</t>
  </si>
  <si>
    <t xml:space="preserve">New lead is created when no matching Salesforce record is found</t>
  </si>
  <si>
    <t xml:space="preserve">Create runs only if primary lookup, FB-1 and FB-2 all returned nothing and the Function value is eligible.</t>
  </si>
  <si>
    <t xml:space="preserve">Stage 2.4</t>
  </si>
  <si>
    <t xml:space="preserve">20 attributes and LeadSource = 2 identical to old.</t>
  </si>
  <si>
    <t xml:space="preserve">TC-01, TC-02</t>
  </si>
  <si>
    <t xml:space="preserve">Update applicable lead/contact per existing logic; attributes not updated today stay not updated</t>
  </si>
  <si>
    <t xml:space="preserve">Contact: nothing updated (GEE-5976). Lead: the same 10 attributes (Level, Department, Street, City, State, PostalCode, Industry, NumberOfEmployees, Website, AnnualRevenue). Name, title, phone, country, function, lead source detail are not updated.</t>
  </si>
  <si>
    <t xml:space="preserve">Stage 2.5</t>
  </si>
  <si>
    <t xml:space="preserve">10-pair update compared with old: equal.</t>
  </si>
  <si>
    <t xml:space="preserve">TC-04, TC-05</t>
  </si>
  <si>
    <t xml:space="preserve">S4</t>
  </si>
  <si>
    <t xml:space="preserve">Additional check for an existing matching Contact Point Email before classifying as new lead</t>
  </si>
  <si>
    <t xml:space="preserve">Primary live lookup -&gt; FB-1 (synchronized DE of ContactPointEmail, no Salesforce call) -&gt; FB-2 (CPE row without Id: follow ParentId/Individual to Contact then Lead).</t>
  </si>
  <si>
    <t xml:space="preserve">Stage 2.1, 2.2, 2.3</t>
  </si>
  <si>
    <t xml:space="preserve">Walk-through and test cases TC-11 to TC-14.</t>
  </si>
  <si>
    <t xml:space="preserve">Met (prerequisites: sync DE name; read access to ParentId / IndividualId)</t>
  </si>
  <si>
    <t xml:space="preserve">TC-11 to TC-14</t>
  </si>
  <si>
    <t xml:space="preserve">Use the Lead or Contact associated with the matching CPE for continued processing</t>
  </si>
  <si>
    <t xml:space="preserve">The Id found by any step goes into @Resolved_ID then @Salesforce_ID and is used by consent, associated emails, preferences, subscriber, journeys and the safety net.</t>
  </si>
  <si>
    <t xml:space="preserve">Stage 2.5 onward</t>
  </si>
  <si>
    <t xml:space="preserve">Salesforce_ID in Centralized_Form_Processor_DE equals the existing record Id (TC-11, TC-13).</t>
  </si>
  <si>
    <t xml:space="preserve">TC-11, TC-13</t>
  </si>
  <si>
    <t xml:space="preserve">No duplicate-email validation error is generated from an attempted Lead creation</t>
  </si>
  <si>
    <t xml:space="preserve">A create is attempted only after three lookups found nothing. RESIDUAL RISK: if the live lookup, the sync DE and the Individual path all miss while Salesforce already holds the email (for example two simultaneous posts of a brand-new email), Salesforce can still reject the create. That case is logged with full data and returns the error response (recovery step was removed on your instruction).</t>
  </si>
  <si>
    <t xml:space="preserve">Stage 2.4 + stage catch</t>
  </si>
  <si>
    <t xml:space="preserve">TC-15 proves the failure is handled and logged; TC-18 documents the concurrent case.</t>
  </si>
  <si>
    <t xml:space="preserve">Met with residual risk</t>
  </si>
  <si>
    <t xml:space="preserve">TC-15, TC-18</t>
  </si>
  <si>
    <t xml:space="preserve">S5</t>
  </si>
  <si>
    <t xml:space="preserve">Redundant ContactPointEmail lookups are removed</t>
  </si>
  <si>
    <t xml:space="preserve">Old standard flow: Function-branch lookup + consent lookup + associated list (always). New: one live lookup; the associated list runs only when consent was updated; FB-2 only on the fallback path. Contact Us block lookup removed with Inquiry logic.</t>
  </si>
  <si>
    <t xml:space="preserve">Stage 2.1, 4, 5</t>
  </si>
  <si>
    <t xml:space="preserve">Operation count of live ContactPointEmail queries: old 5, new 3 (one of them fallback-only, one conditional).</t>
  </si>
  <si>
    <t xml:space="preserve">TC-06, TC-07, TC-13</t>
  </si>
  <si>
    <t xml:space="preserve">Value from the required lookup is stored and reused by later steps</t>
  </si>
  <si>
    <t xml:space="preserve">@Resolved_ID / @Salesforce_ID is reused in stage 4 (@Consent_SFID), stage 5 and stage 9. For a new Lead the created Id is reused.</t>
  </si>
  <si>
    <t xml:space="preserve">Stage 4, 5, 9</t>
  </si>
  <si>
    <t xml:space="preserve">No second CPE query exists in stage 4.</t>
  </si>
  <si>
    <t xml:space="preserve">TC-05, TC-06</t>
  </si>
  <si>
    <t xml:space="preserve">S6</t>
  </si>
  <si>
    <t xml:space="preserve">Error log is populated with the relevant submitted field values available at the point of failure</t>
  </si>
  <si>
    <t xml:space="preserve">CFP_LogError writes all 52 posted fields (each cut to its column length) plus RFP_Attachments, PrimaryKey, CFP_PK, Page_Type and ErrorMessage. Used by EVERY failure path, including validation rejections.</t>
  </si>
  <si>
    <t xml:space="preserve">Helper CFP_LogError; every stage catch</t>
  </si>
  <si>
    <t xml:space="preserve">Harness run: 57 columns written. Only columns that already exist in the Error Log DE are used (per your instruction).</t>
  </si>
  <si>
    <t xml:space="preserve">TC-26 to TC-34</t>
  </si>
  <si>
    <t xml:space="preserve">Captured values give additional context for troubleshooting</t>
  </si>
  <si>
    <t xml:space="preserve">ErrorMessage = [STAGE] description | HTTP=status | SFID | LOOKUP (how the Id was found) | t=+ms. CFP_PK links to the staging record; PrimaryKey to the final record.</t>
  </si>
  <si>
    <t xml:space="preserve">Helper CFP_LogError</t>
  </si>
  <si>
    <t xml:space="preserve">Sample row in TC-32.</t>
  </si>
  <si>
    <t xml:space="preserve">TC-32</t>
  </si>
  <si>
    <t xml:space="preserve">Notes</t>
  </si>
  <si>
    <t xml:space="preserve">InternalFormProcessor_DE is not required for External CFP</t>
  </si>
  <si>
    <t xml:space="preserve">Not referenced anywhere in the refactored page.</t>
  </si>
  <si>
    <t xml:space="preserve">-</t>
  </si>
  <si>
    <t xml:space="preserve">Search the file: no hit.</t>
  </si>
  <si>
    <t xml:space="preserve">Your review</t>
  </si>
  <si>
    <t xml:space="preserve">Correct HTTP error to the caller (Postman)</t>
  </si>
  <si>
    <t xml:space="preserve">CFP_ERROR_MODE controls it. Default RAISE_ERROR with intended statuses 400 / 502 / 500. All error redirects in the old page went to one URL (kpmg.us/errors/500.html), which was reported as 404.</t>
  </si>
  <si>
    <t xml:space="preserve">CFP_ERROR_MODE, CFP_STATUS_MAP, CFP_ErrorResponse</t>
  </si>
  <si>
    <t xml:space="preserve">Statuses must be confirmed in Postman.</t>
  </si>
  <si>
    <t xml:space="preserve">To verify in Stage</t>
  </si>
  <si>
    <t xml:space="preserve">TC-35 to TC-40</t>
  </si>
  <si>
    <t xml:space="preserve">Recovery step removed; no extra Error-Log columns</t>
  </si>
  <si>
    <t xml:space="preserve">No RC-1/2/3 block exists; logger writes only existing columns.</t>
  </si>
  <si>
    <t xml:space="preserve">Stage 2; helper CFP_LogError</t>
  </si>
  <si>
    <t xml:space="preserve">Search for RECOVERY: no hit.</t>
  </si>
  <si>
    <t xml:space="preserve">TC-15, TC-34</t>
  </si>
  <si>
    <t xml:space="preserve">#</t>
  </si>
  <si>
    <t xml:space="preserve">Existing functionality (old page)</t>
  </si>
  <si>
    <t xml:space="preserve">Refactored location</t>
  </si>
  <si>
    <t xml:space="preserve">Verdict</t>
  </si>
  <si>
    <t xml:space="preserve">1</t>
  </si>
  <si>
    <t xml:space="preserve">Posted parameters (53)</t>
  </si>
  <si>
    <t xml:space="preserve">Stage 1 params</t>
  </si>
  <si>
    <t xml:space="preserve">Identical - Inquiry_Type removed; Full_Page_URL now read</t>
  </si>
  <si>
    <t xml:space="preserve">Verified by script. Old code checked @Full_Page_URL without reading it.</t>
  </si>
  <si>
    <t xml:space="preserve">TC-41</t>
  </si>
  <si>
    <t xml:space="preserve">2</t>
  </si>
  <si>
    <t xml:space="preserve">Length limits (53 fields)</t>
  </si>
  <si>
    <t xml:space="preserve">Field table</t>
  </si>
  <si>
    <t xml:space="preserve">Identical - Inquiry_Type (500) removed</t>
  </si>
  <si>
    <t xml:space="preserve">All other 52 limits equal.</t>
  </si>
  <si>
    <t xml:space="preserve">TC-27</t>
  </si>
  <si>
    <t xml:space="preserve">3</t>
  </si>
  <si>
    <t xml:space="preserve">Character-set checks (standard + Message regex) and which fields use them</t>
  </si>
  <si>
    <t xml:space="preserve">Field table + CFP_CHARSET_*</t>
  </si>
  <si>
    <t xml:space="preserve">Identical</t>
  </si>
  <si>
    <t xml:space="preserve">Regex text equal. In the old page the pageURL / confirmationPage regex lines were commented out, so only the alert( check applies to them - same now.</t>
  </si>
  <si>
    <t xml:space="preserve">TC-28, TC-29</t>
  </si>
  <si>
    <t xml:space="preserve">4</t>
  </si>
  <si>
    <t xml:space="preserve">alert( pattern check: pageURL, confirmationPage, Full_Page_URL</t>
  </si>
  <si>
    <t xml:space="preserve">Field table type 3</t>
  </si>
  <si>
    <t xml:space="preserve">TC-30, TC-31</t>
  </si>
  <si>
    <t xml:space="preserve">5</t>
  </si>
  <si>
    <t xml:space="preserve">Email format check (IsEmailAddress); empty email rejected</t>
  </si>
  <si>
    <t xml:space="preserve">Stage 1b</t>
  </si>
  <si>
    <t xml:space="preserve">Identical check</t>
  </si>
  <si>
    <t xml:space="preserve">TC-26</t>
  </si>
  <si>
    <t xml:space="preserve">6</t>
  </si>
  <si>
    <t xml:space="preserve">What happens on validation failure</t>
  </si>
  <si>
    <t xml:space="preserve">Changed - intended (S6)</t>
  </si>
  <si>
    <t xml:space="preserve">Old: silent redirect (301) to kpmg 500 page. New: error-log row + error response.</t>
  </si>
  <si>
    <t xml:space="preserve">TC-26 to TC-31, TC-35</t>
  </si>
  <si>
    <t xml:space="preserve">7</t>
  </si>
  <si>
    <t xml:space="preserve">Defaults: RFP_Attachments (True/False), db_annual_sales 0, db_employee_count 0</t>
  </si>
  <si>
    <t xml:space="preserve">Stage 1</t>
  </si>
  <si>
    <t xml:space="preserve">TC-44, TC-45</t>
  </si>
  <si>
    <t xml:space="preserve">8</t>
  </si>
  <si>
    <t xml:space="preserve">Staging insert NoSFID_CentralizedFormProcessor (53 columns)</t>
  </si>
  <si>
    <t xml:space="preserve">Stage 1c</t>
  </si>
  <si>
    <t xml:space="preserve">Field-for-field equal.</t>
  </si>
  <si>
    <t xml:space="preserve">TC-47</t>
  </si>
  <si>
    <t xml:space="preserve">9</t>
  </si>
  <si>
    <t xml:space="preserve">Function eligibility (empty, Other/Not Sure, Advisory, Tax, Audit)</t>
  </si>
  <si>
    <t xml:space="preserve">Stage 2</t>
  </si>
  <si>
    <t xml:space="preserve">Two old branches merged. Other values: no Lead create/update, same as before.</t>
  </si>
  <si>
    <t xml:space="preserve">TC-02, TC-03</t>
  </si>
  <si>
    <t xml:space="preserve">10</t>
  </si>
  <si>
    <t xml:space="preserve">CPE lookup by email -&gt; Lead/Contact Id</t>
  </si>
  <si>
    <t xml:space="preserve">Stage 2.1</t>
  </si>
  <si>
    <t xml:space="preserve">Identical query</t>
  </si>
  <si>
    <t xml:space="preserve">First row with a non-empty Id is used (old: row 1).</t>
  </si>
  <si>
    <t xml:space="preserve">TC-17</t>
  </si>
  <si>
    <t xml:space="preserve">11</t>
  </si>
  <si>
    <t xml:space="preserve">Existing Contact: no update</t>
  </si>
  <si>
    <t xml:space="preserve">TC-05</t>
  </si>
  <si>
    <t xml:space="preserve">12</t>
  </si>
  <si>
    <t xml:space="preserve">Existing Lead: update 10 attributes</t>
  </si>
  <si>
    <t xml:space="preserve">Equal set.</t>
  </si>
  <si>
    <t xml:space="preserve">TC-04</t>
  </si>
  <si>
    <t xml:space="preserve">13</t>
  </si>
  <si>
    <t xml:space="preserve">New Lead: create 20 attributes, LeadSource 2</t>
  </si>
  <si>
    <t xml:space="preserve">TC-01</t>
  </si>
  <si>
    <t xml:space="preserve">14</t>
  </si>
  <si>
    <t xml:space="preserve">New Lead sets IsStatusupdate = True</t>
  </si>
  <si>
    <t xml:space="preserve">15</t>
  </si>
  <si>
    <t xml:space="preserve">3-second wait after the Salesforce stage</t>
  </si>
  <si>
    <t xml:space="preserve">Stage 2 end</t>
  </si>
  <si>
    <t xml:space="preserve">Changed - intended</t>
  </si>
  <si>
    <t xml:space="preserve">Old: always. New: only after a NEW Lead (CFP_ALWAYS_WAIT = true restores old).</t>
  </si>
  <si>
    <t xml:space="preserve">TC-04, TC-50, TC-51</t>
  </si>
  <si>
    <t xml:space="preserve">16</t>
  </si>
  <si>
    <t xml:space="preserve">Contact Us / Inquiry block: NoLead staging, Contact owner lookup, RFP link, Description, Lead_Source_Detail override</t>
  </si>
  <si>
    <t xml:space="preserve">Removed - per AC (S1)</t>
  </si>
  <si>
    <t xml:space="preserve">17</t>
  </si>
  <si>
    <t xml:space="preserve">Promotion order</t>
  </si>
  <si>
    <t xml:space="preserve">Stage 3</t>
  </si>
  <si>
    <t xml:space="preserve">Old: delete staging row then insert. New: insert, confirm, then delete (no data loss if insert fails).</t>
  </si>
  <si>
    <t xml:space="preserve">TC-48</t>
  </si>
  <si>
    <t xml:space="preserve">18</t>
  </si>
  <si>
    <t xml:space="preserve">Promotion insert columns (57)</t>
  </si>
  <si>
    <t xml:space="preserve">Removed one column - per AC (S1)</t>
  </si>
  <si>
    <t xml:space="preserve">Inquiry_Type dropped; prerequisite: column nullable.</t>
  </si>
  <si>
    <t xml:space="preserve">19</t>
  </si>
  <si>
    <t xml:space="preserve">Remove email from Unsubscribe_From_All_Preferences at consent start</t>
  </si>
  <si>
    <t xml:space="preserve">Stage 4</t>
  </si>
  <si>
    <t xml:space="preserve">TC-09</t>
  </si>
  <si>
    <t xml:space="preserve">20</t>
  </si>
  <si>
    <t xml:space="preserve">Second CPE lookup in consent stage</t>
  </si>
  <si>
    <t xml:space="preserve">Removed - per AC (S5)</t>
  </si>
  <si>
    <t xml:space="preserve">Id reused.</t>
  </si>
  <si>
    <t xml:space="preserve">21</t>
  </si>
  <si>
    <t xml:space="preserve">Consent rules: Opt out / Opt Out / Opt In Pending / new Lead -&gt; set Opt In (Contact and Lead branches)</t>
  </si>
  <si>
    <t xml:space="preserve">Identical conditions</t>
  </si>
  <si>
    <t xml:space="preserve">IsStatusupdate is now compared explicitly with "True" (old used the variable directly). See To Confirm #1.</t>
  </si>
  <si>
    <t xml:space="preserve">TC-05 to TC-08</t>
  </si>
  <si>
    <t xml:space="preserve">22</t>
  </si>
  <si>
    <t xml:space="preserve">Global_Suppression_List delete</t>
  </si>
  <si>
    <t xml:space="preserve">Stage 4.2</t>
  </si>
  <si>
    <t xml:space="preserve">Identical operation</t>
  </si>
  <si>
    <t xml:space="preserve">Failure is now logged (old printed it into the page).</t>
  </si>
  <si>
    <t xml:space="preserve">TC-10</t>
  </si>
  <si>
    <t xml:space="preserve">23</t>
  </si>
  <si>
    <t xml:space="preserve">Associated emails: delete from two unsubscribe DEs, set subscriber Active, write Audit_Preferences</t>
  </si>
  <si>
    <t xml:space="preserve">Stage 5</t>
  </si>
  <si>
    <t xml:space="preserve">Identical loop body</t>
  </si>
  <si>
    <t xml:space="preserve">Query now runs only when consent was updated (old: always, result unused otherwise).</t>
  </si>
  <si>
    <t xml:space="preserve">TC-06, TC-07</t>
  </si>
  <si>
    <t xml:space="preserve">24</t>
  </si>
  <si>
    <t xml:space="preserve">Read first/last name of Lead/Contact</t>
  </si>
  <si>
    <t xml:space="preserve">Stage 6</t>
  </si>
  <si>
    <t xml:space="preserve">Identical (verbatim)</t>
  </si>
  <si>
    <t xml:space="preserve">TC-46</t>
  </si>
  <si>
    <t xml:space="preserve">25</t>
  </si>
  <si>
    <t xml:space="preserve">Preferences 1-10 processing (Subscriber_Preferences_Email, Audit_Preferences)</t>
  </si>
  <si>
    <t xml:space="preserve">Inserts compared: equal.</t>
  </si>
  <si>
    <t xml:space="preserve">TC-42</t>
  </si>
  <si>
    <t xml:space="preserve">26</t>
  </si>
  <si>
    <t xml:space="preserve">Subscriber activation (GSENHANCEM-12892)</t>
  </si>
  <si>
    <t xml:space="preserve">Stage 7</t>
  </si>
  <si>
    <t xml:space="preserve">TC-43</t>
  </si>
  <si>
    <t xml:space="preserve">27</t>
  </si>
  <si>
    <t xml:space="preserve">API credential lookup and decrypt (ENT.API_Details)</t>
  </si>
  <si>
    <t xml:space="preserve">Decrypt parameters unchanged - confirm real values are in place.</t>
  </si>
  <si>
    <t xml:space="preserve">TC-24</t>
  </si>
  <si>
    <t xml:space="preserve">28</t>
  </si>
  <si>
    <t xml:space="preserve">MID via AuthenticatedMemberID</t>
  </si>
  <si>
    <t xml:space="preserve">TC-21</t>
  </si>
  <si>
    <t xml:space="preserve">29</t>
  </si>
  <si>
    <t xml:space="preserve">Token request to Marketing Cloud</t>
  </si>
  <si>
    <t xml:space="preserve">Identical request</t>
  </si>
  <si>
    <t xml:space="preserve">Non-200 is now logged (non-fatal).</t>
  </si>
  <si>
    <t xml:space="preserve">30</t>
  </si>
  <si>
    <t xml:space="preserve">Dynamic journeys from FormName_Event_ID_Mapping_DE</t>
  </si>
  <si>
    <t xml:space="preserve">Stage 8 (b)</t>
  </si>
  <si>
    <t xml:space="preserve">Identical logic, improved</t>
  </si>
  <si>
    <t xml:space="preserve">Per-mapping try/catch; non-201 logged. Payload now also carries Full_Page_URL and RFP_Attachments (as Internal CFP).</t>
  </si>
  <si>
    <t xml:space="preserve">TC-23</t>
  </si>
  <si>
    <t xml:space="preserve">31</t>
  </si>
  <si>
    <t xml:space="preserve">Centralized Form journey event key</t>
  </si>
  <si>
    <t xml:space="preserve">Changed - per your instruction</t>
  </si>
  <si>
    <t xml:space="preserve">Old hard-coded; new from ENT.Journey_API_Event_Key_Config_DE.</t>
  </si>
  <si>
    <t xml:space="preserve">32</t>
  </si>
  <si>
    <t xml:space="preserve">Contact Us journey</t>
  </si>
  <si>
    <t xml:space="preserve">Removed - per AC (S2)</t>
  </si>
  <si>
    <t xml:space="preserve">TC-25</t>
  </si>
  <si>
    <t xml:space="preserve">33</t>
  </si>
  <si>
    <t xml:space="preserve">Routing between journeys by Inquiry_Type</t>
  </si>
  <si>
    <t xml:space="preserve">Removed - per AC (S1/S2)</t>
  </si>
  <si>
    <t xml:space="preserve">34</t>
  </si>
  <si>
    <t xml:space="preserve">Journey REST URL</t>
  </si>
  <si>
    <t xml:space="preserve">Identical, normalised</t>
  </si>
  <si>
    <t xml:space="preserve">Trailing slash handled.</t>
  </si>
  <si>
    <t xml:space="preserve">35</t>
  </si>
  <si>
    <t xml:space="preserve">Debug Write() output printed into the response</t>
  </si>
  <si>
    <t xml:space="preserve">Removed</t>
  </si>
  <si>
    <t xml:space="preserve">Old page leaked internal values (arrays, event ids) to the caller.</t>
  </si>
  <si>
    <t xml:space="preserve">TC-38, TC-39</t>
  </si>
  <si>
    <t xml:space="preserve">36</t>
  </si>
  <si>
    <t xml:space="preserve">Consent safety net GEE-18206</t>
  </si>
  <si>
    <t xml:space="preserve">Stage 9</t>
  </si>
  <si>
    <t xml:space="preserve">TC-49</t>
  </si>
  <si>
    <t xml:space="preserve">37</t>
  </si>
  <si>
    <t xml:space="preserve">Final client-side redirect to confirmationPage</t>
  </si>
  <si>
    <t xml:space="preserve">Stage 10</t>
  </si>
  <si>
    <t xml:space="preserve">TC-38</t>
  </si>
  <si>
    <t xml:space="preserve">38</t>
  </si>
  <si>
    <t xml:space="preserve">Error handling per stage</t>
  </si>
  <si>
    <t xml:space="preserve">Every stage</t>
  </si>
  <si>
    <t xml:space="preserve">Improved</t>
  </si>
  <si>
    <t xml:space="preserve">Old: some stages had no try/catch (AMPscript error = raw platform error). New: all stages logged.</t>
  </si>
  <si>
    <t xml:space="preserve">TC-33</t>
  </si>
  <si>
    <t xml:space="preserve">39</t>
  </si>
  <si>
    <t xml:space="preserve">Error response to caller</t>
  </si>
  <si>
    <t xml:space="preserve">CFP_ErrorResponse</t>
  </si>
  <si>
    <t xml:space="preserve">Old: redirect to one URL for every error. New: mode switch.</t>
  </si>
  <si>
    <t xml:space="preserve">40</t>
  </si>
  <si>
    <t xml:space="preserve">Error-log content</t>
  </si>
  <si>
    <t xml:space="preserve">CFP_LogError</t>
  </si>
  <si>
    <t xml:space="preserve">Changed - per AC (S6)</t>
  </si>
  <si>
    <t xml:space="preserve">Old: 4 columns (one validation case wrote all fields without a message). New: all fields.</t>
  </si>
  <si>
    <t xml:space="preserve">41</t>
  </si>
  <si>
    <t xml:space="preserve">Function not eligible path (no Lead, empty Salesforce Id, staging row stays, later stages still run)</t>
  </si>
  <si>
    <t xml:space="preserve">Stage 2 / 3</t>
  </si>
  <si>
    <t xml:space="preserve">Deliberately preserved.</t>
  </si>
  <si>
    <t xml:space="preserve">TC-03</t>
  </si>
  <si>
    <t xml:space="preserve">Topic</t>
  </si>
  <si>
    <t xml:space="preserve">What differs / risk</t>
  </si>
  <si>
    <t xml:space="preserve">Action for you</t>
  </si>
  <si>
    <t xml:space="preserve">IsStatusupdate comparison</t>
  </si>
  <si>
    <t xml:space="preserve">Old code tested the variable directly (set to the text "FALSE"); new code compares it with "True" like the Internal CFP page. If the platform treated the text "FALSE" as true, the old page would have updated consent for EVERY submission.</t>
  </si>
  <si>
    <t xml:space="preserve">Run an existing Contact with consent Opt In on the OLD and NEW page. If old page changed consent or re-subscribed associated emails and new does not, tell me.</t>
  </si>
  <si>
    <t xml:space="preserve">TC-06, TC-41</t>
  </si>
  <si>
    <t xml:space="preserve">Wait only after a new Lead</t>
  </si>
  <si>
    <t xml:space="preserve">Existing records no longer wait 3 s.</t>
  </si>
  <si>
    <t xml:space="preserve">Salesforce owner to agree (no automation on Lead update that the consent read depends on). Set CFP_ALWAYS_WAIT = true to restore.</t>
  </si>
  <si>
    <t xml:space="preserve">TC-50</t>
  </si>
  <si>
    <t xml:space="preserve">Journey payload</t>
  </si>
  <si>
    <t xml:space="preserve">Dynamic and CFP journeys now also send Full_Page_URL and RFP_Attachments (same list as Internal CFP, minus Inquiry_Type).</t>
  </si>
  <si>
    <t xml:space="preserve">Confirm the event schemas contain them (or accept that unknown fields are ignored).</t>
  </si>
  <si>
    <t xml:space="preserve">TC-21, TC-23</t>
  </si>
  <si>
    <t xml:space="preserve">Journey config row</t>
  </si>
  <si>
    <t xml:space="preserve">CFP key comes from ENT.Journey_API_Event_Key_Config_DE for the BU MID.</t>
  </si>
  <si>
    <t xml:space="preserve">Confirm a row with the External BU MID and a CentralizedFormProcessor_Journey value exists.</t>
  </si>
  <si>
    <t xml:space="preserve">TC-22</t>
  </si>
  <si>
    <t xml:space="preserve">Statuses returned by RAISE_ERROR</t>
  </si>
  <si>
    <t xml:space="preserve">Intended 400 / 502 / 500 are not documented platform behaviour.</t>
  </si>
  <si>
    <t xml:space="preserve">Record the real status for each class in Postman (TC-35 to TC-37).</t>
  </si>
  <si>
    <t xml:space="preserve">TC-35 to TC-37</t>
  </si>
  <si>
    <t xml:space="preserve">Sync DE and field access</t>
  </si>
  <si>
    <t xml:space="preserve">FB-1 needs the sync DE name (CFP_CPE_SYNC_DE) with EmailAddress and KPMG_Lead_Contact_Id__c. FB-2 needs read access to ContactPointEmail.ParentId, Contact.IndividualId, Lead.IndividualId.</t>
  </si>
  <si>
    <t xml:space="preserve">Verify names / access; a wrong name is logged as non-fatal and the flow continues.</t>
  </si>
  <si>
    <t xml:space="preserve">No recovery after a failed create</t>
  </si>
  <si>
    <t xml:space="preserve">Concurrent identical new-email posts can still produce a rejected create.</t>
  </si>
  <si>
    <t xml:space="preserve">Accept as known residual risk or add a retry later. Failure is logged with full data.</t>
  </si>
  <si>
    <t xml:space="preserve">TC-18</t>
  </si>
  <si>
    <t xml:space="preserve">Inquiry_Type column and RFP_Attachments</t>
  </si>
  <si>
    <t xml:space="preserve">Inquiry_Type no longer written; RFP_Attachments kept as pass-through.</t>
  </si>
  <si>
    <t xml:space="preserve">Confirm Inquiry_Type is nullable in Centralized_Form_Processor_DE.</t>
  </si>
  <si>
    <t xml:space="preserve">Decrypt parameters</t>
  </si>
  <si>
    <t xml:space="preserve">Password / salt / IV in the DecryptSymmetric calls are copied from the shared file and look like placeholders.</t>
  </si>
  <si>
    <t xml:space="preserve">Make sure production values are in the deployed copy.</t>
  </si>
  <si>
    <t xml:space="preserve">Old Full_Page_URL reference</t>
  </si>
  <si>
    <t xml:space="preserve">Old code tested a variable that was commented out; new code reads the posted value.</t>
  </si>
  <si>
    <t xml:space="preserve">Confirm posters do not send an unexpected Full_Page_URL.</t>
  </si>
  <si>
    <t xml:space="preserve">TC-31</t>
  </si>
  <si>
    <t xml:space="preserve">A. POSTMAN SETUP</t>
  </si>
  <si>
    <t xml:space="preserve">Method / URL</t>
  </si>
  <si>
    <t xml:space="preserve">POST to the CloudPage URL (Sandbox). Body type: x-www-form-urlencoded (the website posts a form). Open the Postman Console to see redirects; use "Send and Download" or the Raw response view to inspect the body.</t>
  </si>
  <si>
    <t xml:space="preserve">Unique emails</t>
  </si>
  <si>
    <t xml:space="preserve">Use a new email per test, e.g. cfp.tc01.&lt;yyyymmddhhmm&gt;@mailinator-style test domain, so a new Lead is really created.</t>
  </si>
  <si>
    <t xml:space="preserve">B. BASE PAYLOAD (valid submission) - parameter = sample value</t>
  </si>
  <si>
    <t xml:space="preserve">FirstName</t>
  </si>
  <si>
    <t xml:space="preserve">Test</t>
  </si>
  <si>
    <t xml:space="preserve">LastName</t>
  </si>
  <si>
    <t xml:space="preserve">CFPUnit</t>
  </si>
  <si>
    <t xml:space="preserve">EmailAddress</t>
  </si>
  <si>
    <t xml:space="preserve">&lt;unique email&gt;</t>
  </si>
  <si>
    <t xml:space="preserve">Company</t>
  </si>
  <si>
    <t xml:space="preserve">Test Company</t>
  </si>
  <si>
    <t xml:space="preserve">Title</t>
  </si>
  <si>
    <t xml:space="preserve">Manager</t>
  </si>
  <si>
    <t xml:space="preserve">Country</t>
  </si>
  <si>
    <t xml:space="preserve">US</t>
  </si>
  <si>
    <t xml:space="preserve">busPhone</t>
  </si>
  <si>
    <t xml:space="preserve">5551234567</t>
  </si>
  <si>
    <t xml:space="preserve">CID</t>
  </si>
  <si>
    <t xml:space="preserve">CID123</t>
  </si>
  <si>
    <t xml:space="preserve">medium</t>
  </si>
  <si>
    <t xml:space="preserve">web</t>
  </si>
  <si>
    <t xml:space="preserve">MID</t>
  </si>
  <si>
    <t xml:space="preserve">12345</t>
  </si>
  <si>
    <t xml:space="preserve">term</t>
  </si>
  <si>
    <t xml:space="preserve">t1</t>
  </si>
  <si>
    <t xml:space="preserve">Campaign</t>
  </si>
  <si>
    <t xml:space="preserve">Camp1</t>
  </si>
  <si>
    <t xml:space="preserve">Source</t>
  </si>
  <si>
    <t xml:space="preserve">src1</t>
  </si>
  <si>
    <t xml:space="preserve">UTM_Medium</t>
  </si>
  <si>
    <t xml:space="preserve">email</t>
  </si>
  <si>
    <t xml:space="preserve">content</t>
  </si>
  <si>
    <t xml:space="preserve">c1</t>
  </si>
  <si>
    <t xml:space="preserve">db_annual_sales</t>
  </si>
  <si>
    <t xml:space="preserve">1000000</t>
  </si>
  <si>
    <t xml:space="preserve">db_city</t>
  </si>
  <si>
    <t xml:space="preserve">New York</t>
  </si>
  <si>
    <t xml:space="preserve">db_company_name</t>
  </si>
  <si>
    <t xml:space="preserve">db_country_name</t>
  </si>
  <si>
    <t xml:space="preserve">db_employee_count</t>
  </si>
  <si>
    <t xml:space="preserve">250</t>
  </si>
  <si>
    <t xml:space="preserve">db_industry</t>
  </si>
  <si>
    <t xml:space="preserve">Technology</t>
  </si>
  <si>
    <t xml:space="preserve">db_primary_naics</t>
  </si>
  <si>
    <t xml:space="preserve">541511</t>
  </si>
  <si>
    <t xml:space="preserve">db_primary_sic</t>
  </si>
  <si>
    <t xml:space="preserve">7371</t>
  </si>
  <si>
    <t xml:space="preserve">db_state</t>
  </si>
  <si>
    <t xml:space="preserve">NY</t>
  </si>
  <si>
    <t xml:space="preserve">db_street_address</t>
  </si>
  <si>
    <t xml:space="preserve">1 Test Street</t>
  </si>
  <si>
    <t xml:space="preserve">db_sub_industry</t>
  </si>
  <si>
    <t xml:space="preserve">Software</t>
  </si>
  <si>
    <t xml:space="preserve">db_web_site</t>
  </si>
  <si>
    <t xml:space="preserve">https://test.example.com</t>
  </si>
  <si>
    <t xml:space="preserve">db_zip</t>
  </si>
  <si>
    <t xml:space="preserve">10001</t>
  </si>
  <si>
    <t xml:space="preserve">confirmationPage</t>
  </si>
  <si>
    <t xml:space="preserve">https://www.kpmg.us/</t>
  </si>
  <si>
    <t xml:space="preserve">formName</t>
  </si>
  <si>
    <t xml:space="preserve">&lt;a form that has a row in FormName_Event_ID_Mapping_DE, or a new name for none&gt;</t>
  </si>
  <si>
    <t xml:space="preserve">pageURL</t>
  </si>
  <si>
    <t xml:space="preserve">https://www.kpmg.us/test</t>
  </si>
  <si>
    <t xml:space="preserve">Full_Page_URL</t>
  </si>
  <si>
    <t xml:space="preserve">https://www.kpmg.us/test?x=1</t>
  </si>
  <si>
    <t xml:space="preserve">conditionalProcessing</t>
  </si>
  <si>
    <t xml:space="preserve">none</t>
  </si>
  <si>
    <t xml:space="preserve">mktAttribute1 ... mktAttribute10</t>
  </si>
  <si>
    <t xml:space="preserve">use values that exist in your preference configuration (see the preference block)</t>
  </si>
  <si>
    <t xml:space="preserve">tacticid</t>
  </si>
  <si>
    <t xml:space="preserve">TAC1</t>
  </si>
  <si>
    <t xml:space="preserve">Lead_Source</t>
  </si>
  <si>
    <t xml:space="preserve">Web</t>
  </si>
  <si>
    <t xml:space="preserve">Lead_Source_Detail</t>
  </si>
  <si>
    <t xml:space="preserve">Unit test</t>
  </si>
  <si>
    <t xml:space="preserve">Message</t>
  </si>
  <si>
    <t xml:space="preserve">Hello! Is this ok?</t>
  </si>
  <si>
    <t xml:space="preserve">Department</t>
  </si>
  <si>
    <t xml:space="preserve">Tax</t>
  </si>
  <si>
    <t xml:space="preserve">Level</t>
  </si>
  <si>
    <t xml:space="preserve">Function</t>
  </si>
  <si>
    <t xml:space="preserve">marketingTheme</t>
  </si>
  <si>
    <t xml:space="preserve">Theme1</t>
  </si>
  <si>
    <t xml:space="preserve">marketingCampaign</t>
  </si>
  <si>
    <t xml:space="preserve">MC1</t>
  </si>
  <si>
    <t xml:space="preserve">marketingSubCampaign</t>
  </si>
  <si>
    <t xml:space="preserve">MSC1</t>
  </si>
  <si>
    <t xml:space="preserve">RFP_Attachments</t>
  </si>
  <si>
    <t xml:space="preserve">False</t>
  </si>
  <si>
    <t xml:space="preserve">C. HOW TO FORCE A SCENARIO (always in a COPY of the page, never the live page)</t>
  </si>
  <si>
    <t xml:space="preserve">Primary lookup misses</t>
  </si>
  <si>
    <t xml:space="preserve">In stage 2.1 change the filter value to Concat(@EmailAddress,"zz") so the live query finds nothing although the email exists in Salesforce / the sync DE.</t>
  </si>
  <si>
    <t xml:space="preserve">Sync DE misses</t>
  </si>
  <si>
    <t xml:space="preserve">Set CFP_CPE_SYNC_DE to a DE that does not hold the email (or an invalid name to test the non-fatal log).</t>
  </si>
  <si>
    <t xml:space="preserve">CPE row with blank Id</t>
  </si>
  <si>
    <t xml:space="preserve">In the Salesforce sandbox clear KPMG_Lead_Contact_Id__c on a ContactPointEmail row (and the matching sync DE row), keep ParentId (Individual) linked to a Lead/Contact.</t>
  </si>
  <si>
    <t xml:space="preserve">Force Salesforce failure</t>
  </si>
  <si>
    <t xml:space="preserve">Change an object name, e.g. "ContactPointEmail" -&gt; "ContactPointEmailX" in the stage you want to fail (2.1, consent IFD, associated list, name retrieval, safety net).</t>
  </si>
  <si>
    <t xml:space="preserve">Force Data Extension failure</t>
  </si>
  <si>
    <t xml:space="preserve">Change a DE name in the stage: "NoSFID_CentralizedFormProcessor" (stage 1c), "Centralized_Form_Processor_DE" (stage 3), "Subscriber_Preferences_Email" (stage 6), "ENT.API_Details" (stage 7).</t>
  </si>
  <si>
    <t xml:space="preserve">Force journey failure</t>
  </si>
  <si>
    <t xml:space="preserve">Wrong event id in FormName_Event_ID_Mapping_DE (dynamic); wrong key in the config DE (CFP); wrong password in the decrypt (token).</t>
  </si>
  <si>
    <t xml:space="preserve">Compare with old page</t>
  </si>
  <si>
    <t xml:space="preserve">Publish the OLD code as a second CloudPage and send the same payload (different emails) to both.</t>
  </si>
  <si>
    <t xml:space="preserve">D. VERIFICATION QUERIES</t>
  </si>
  <si>
    <t xml:space="preserve">Lead by email</t>
  </si>
  <si>
    <t xml:space="preserve">SELECT Id, FirstName, LastName, Company, Title, Phone, Country, Street, City, State, PostalCode, KPMG_Level__c, KPMG_Department__c, KPMG_Function__c, KPMG_Lead_Industry__c, NumberOfEmployees, Website, AnnualRevenue, LeadSource, KPMG_Lead_Source_Detail__c, CreatedDate FROM Lead WHERE Email = '&lt;email&gt;'</t>
  </si>
  <si>
    <t xml:space="preserve">Contact point email</t>
  </si>
  <si>
    <t xml:space="preserve">SELECT Id, EmailAddress, KPMG_Lead_Contact_Id__c, ParentId FROM ContactPointEmail WHERE EmailAddress = '&lt;email&gt;'</t>
  </si>
  <si>
    <t xml:space="preserve">Consent status (IFD)</t>
  </si>
  <si>
    <t xml:space="preserve">SELECT Id, KPMG_Consent_Status__c, KPMG_LeadId__c, KPMG_ContactId__c FROM KPMG_Individual_Firm_Details__c WHERE KPMG_LeadId__c = '&lt;id&gt;'   (or KPMG_ContactId__c for a Contact)</t>
  </si>
  <si>
    <t xml:space="preserve">Data Extensions to check</t>
  </si>
  <si>
    <t xml:space="preserve">NoSFID_CentralizedFormProcessor (staging, filter CFP_PK / EmailAddress) | Centralized_Form_Processor_DE (final, filter PrimaryKey) | Centralized_Form_Processor_DE_Error_Log (filter PrimaryKey / EmailAddress) | Subscriber_Preferences_Email | Audit_Preferences | Unsubscribe_From_All_Preferences | Unsubscriber_Preferences_Email | Global_Suppression_List | All Subscribers</t>
  </si>
  <si>
    <t xml:space="preserve">Journey Builder</t>
  </si>
  <si>
    <t xml:space="preserve">Journey history / contact entry for the event definition; entry source DE for the payload values.</t>
  </si>
  <si>
    <t xml:space="preserve">ID</t>
  </si>
  <si>
    <t xml:space="preserve">Area</t>
  </si>
  <si>
    <t xml:space="preserve">Test case</t>
  </si>
  <si>
    <t xml:space="preserve">Preconditions / data</t>
  </si>
  <si>
    <t xml:space="preserve">Steps (Postman)</t>
  </si>
  <si>
    <t xml:space="preserve">Expected response</t>
  </si>
  <si>
    <t xml:space="preserve">Expected data / how to verify</t>
  </si>
  <si>
    <t xml:space="preserve">Result</t>
  </si>
  <si>
    <t xml:space="preserve">Actual / notes</t>
  </si>
  <si>
    <t xml:space="preserve">S3 / Parity</t>
  </si>
  <si>
    <t xml:space="preserve">New email, Function = Tax (new Lead)</t>
  </si>
  <si>
    <t xml:space="preserve">Email not in Salesforce, sync DE or any DE.</t>
  </si>
  <si>
    <t xml:space="preserve">POST base payload with a new email.</t>
  </si>
  <si>
    <t xml:space="preserve">Response 200: page returns only the redirect script to confirmationPage. Takes about 3 s longer than an existing record (wait). No debug text in body.</t>
  </si>
  <si>
    <t xml:space="preserve">Lead created with the 20 attributes (query Lead); LeadSource set; consent Opt In (IFD); NoSFID row removed; one row in Centralized_Form_Processor_DE with Salesforce_ID = Lead Id; preferences saved; All Subscribers Active; journeys entered; Error Log has no row.</t>
  </si>
  <si>
    <t xml:space="preserve">TC-02</t>
  </si>
  <si>
    <t xml:space="preserve">New Lead for every eligible Function</t>
  </si>
  <si>
    <t xml:space="preserve">Four new emails.</t>
  </si>
  <si>
    <t xml:space="preserve">Repeat TC-01 with Function = Other/Not Sure, Advisory, Audit, and empty.</t>
  </si>
  <si>
    <t xml:space="preserve">Each: 200 and a Lead is created.</t>
  </si>
  <si>
    <t xml:space="preserve">One Lead each; KPMG_Function__c equals the posted value.</t>
  </si>
  <si>
    <t xml:space="preserve">Function not eligible (e.g. Risk)</t>
  </si>
  <si>
    <t xml:space="preserve">New email.</t>
  </si>
  <si>
    <t xml:space="preserve">POST with Function = Risk. Send the same to the OLD page with another email.</t>
  </si>
  <si>
    <t xml:space="preserve">200 on both pages (same outcome).</t>
  </si>
  <si>
    <t xml:space="preserve">No Lead, no CPE; staging row stays in NoSFID; no row in Centralized_Form_Processor_DE. Identical result old vs new.</t>
  </si>
  <si>
    <t xml:space="preserve">Existing Lead is updated, not recreated</t>
  </si>
  <si>
    <t xml:space="preserve">Lead exists (CPE row with Id, in sync DE). Note current field values.</t>
  </si>
  <si>
    <t xml:space="preserve">POST with changed Level, Department, db_street_address, db_city, db_state, db_zip, db_industry, db_employee_count, db_web_site, db_annual_sales AND changed FirstName, Title, busPhone, Country.</t>
  </si>
  <si>
    <t xml:space="preserve">200; faster than TC-01 (no wait).</t>
  </si>
  <si>
    <t xml:space="preserve">Only the 10 attributes changed on the Lead; FirstName, Title, Phone, Country, Function, Lead source detail unchanged; Lead count for the email still 1.</t>
  </si>
  <si>
    <t xml:space="preserve">S3 / S5</t>
  </si>
  <si>
    <t xml:space="preserve">Existing Contact - no update, consent Opt Out -&gt; Opt In</t>
  </si>
  <si>
    <t xml:space="preserve">Contact with CPE; IFD consent = Opt Out.</t>
  </si>
  <si>
    <t xml:space="preserve">POST base payload with the Contact email.</t>
  </si>
  <si>
    <t xml:space="preserve">200.</t>
  </si>
  <si>
    <t xml:space="preserve">Contact record unchanged; IFD consent = Opt In; Salesforce_ID in final DE = Contact Id (003...); no new Lead.</t>
  </si>
  <si>
    <t xml:space="preserve">TC-06</t>
  </si>
  <si>
    <t xml:space="preserve">S5 / To Confirm 1</t>
  </si>
  <si>
    <t xml:space="preserve">Existing Contact already Opt In</t>
  </si>
  <si>
    <t xml:space="preserve">Contact consent = Opt In; contact has a second CPE (associated email).</t>
  </si>
  <si>
    <t xml:space="preserve">POST. Also send the same payload to the OLD page with a comparable contact.</t>
  </si>
  <si>
    <t xml:space="preserve">Consent unchanged; associated email NOT re-processed (no new Audit_Preferences row for it). Compare with old page result - report any difference.</t>
  </si>
  <si>
    <t xml:space="preserve">TC-07</t>
  </si>
  <si>
    <t xml:space="preserve">Existing Lead Opt Out with an associated email</t>
  </si>
  <si>
    <t xml:space="preserve">Lead with two CPE rows (second email e.g. alt@...); both in Unsubscribe DEs; consent Opt Out.</t>
  </si>
  <si>
    <t xml:space="preserve">POST with the first email.</t>
  </si>
  <si>
    <t xml:space="preserve">Consent Opt In; associated email removed from Unsubscribe_From_All_Preferences and Unsubscriber_Preferences_Email; subscriber Active; Audit_Preferences row "Subscribed / Self-Enrolled / External Centralized Form Processor".</t>
  </si>
  <si>
    <t xml:space="preserve">TC-08</t>
  </si>
  <si>
    <t xml:space="preserve">Parity</t>
  </si>
  <si>
    <t xml:space="preserve">Consent Opt In Pending</t>
  </si>
  <si>
    <t xml:space="preserve">Lead or Contact with consent Opt In Pending.</t>
  </si>
  <si>
    <t xml:space="preserve">POST.</t>
  </si>
  <si>
    <t xml:space="preserve">Consent becomes Opt In.</t>
  </si>
  <si>
    <t xml:space="preserve">Unsubscribe-from-all removed</t>
  </si>
  <si>
    <t xml:space="preserve">Email present in Unsubscribe_From_All_Preferences.</t>
  </si>
  <si>
    <t xml:space="preserve">Row for the email removed.</t>
  </si>
  <si>
    <t xml:space="preserve">Suppression list</t>
  </si>
  <si>
    <t xml:space="preserve">Email present in Global_Suppression_List.</t>
  </si>
  <si>
    <t xml:space="preserve">Row removed. Then force the delete to fail (rename the list in a copy): response still 200 and an ERROR_NONFATAL row [SUPPRESSION_LIST_UPDATE] appears.</t>
  </si>
  <si>
    <t xml:space="preserve">TC-11</t>
  </si>
  <si>
    <t xml:space="preserve">FB-1 resolves from the synchronized DE</t>
  </si>
  <si>
    <t xml:space="preserve">Existing Lead; email in sync DE with Id. Test copy: primary lookup forced to miss (Test Setup C).</t>
  </si>
  <si>
    <t xml:space="preserve">No new Lead created; Salesforce_ID in final DE = existing Lead Id; no Error Log row; existing Lead attributes updated (10).</t>
  </si>
  <si>
    <t xml:space="preserve">TC-12</t>
  </si>
  <si>
    <t xml:space="preserve">FB-1 sync DE name invalid</t>
  </si>
  <si>
    <t xml:space="preserve">Test copy: CFP_CPE_SYNC_DE = invalid name; primary forced to miss; email exists with Id (FB-2 can resolve) or is new.</t>
  </si>
  <si>
    <t xml:space="preserve">200 (flow continues).</t>
  </si>
  <si>
    <t xml:space="preserve">Error Log row Level non-fatal, stage FALLBACK_SYNC_DE_LOOKUP_FAILED with all submitted values; submission completes (Lead found via FB-2 or created).</t>
  </si>
  <si>
    <t xml:space="preserve">TC-13</t>
  </si>
  <si>
    <t xml:space="preserve">FB-2 resolves through the Individual</t>
  </si>
  <si>
    <t xml:space="preserve">ContactPointEmail row with blank KPMG_Lead_Contact_Id__c and ParentId linked to a Lead/Contact; same in sync DE; primary forced to miss (or live row blank).</t>
  </si>
  <si>
    <t xml:space="preserve">No new Lead; Salesforce_ID = the Individual's Contact (or Lead); no duplicate error.</t>
  </si>
  <si>
    <t xml:space="preserve">TC-14</t>
  </si>
  <si>
    <t xml:space="preserve">FB-2 field not readable</t>
  </si>
  <si>
    <t xml:space="preserve">Test copy: replace IndividualId with an invalid field name in FB-2.</t>
  </si>
  <si>
    <t xml:space="preserve">POST an email that has a CPE row without Id.</t>
  </si>
  <si>
    <t xml:space="preserve">Either 200 (new Lead) or the error response if Salesforce rejects the create.</t>
  </si>
  <si>
    <t xml:space="preserve">Error Log row non-fatal FALLBACK_INDIVIDUAL_LOOKUP_FAILED with all values; page did not crash before create.</t>
  </si>
  <si>
    <t xml:space="preserve">TC-15</t>
  </si>
  <si>
    <t xml:space="preserve">S4 / S6</t>
  </si>
  <si>
    <t xml:space="preserve">All checks miss and Salesforce rejects the create</t>
  </si>
  <si>
    <t xml:space="preserve">Email exists in ContactPointEmail. Test copy: primary forced to miss, sync DE name wrong, FB-2 forced to miss.</t>
  </si>
  <si>
    <t xml:space="preserve">Error response (status per TC-36). No success redirect.</t>
  </si>
  <si>
    <t xml:space="preserve">Error Log row stage SF_INTEGRATION with the Salesforce error text and ALL submitted values; staging row stays in NoSFID; NO row in Centralized_Form_Processor_DE.</t>
  </si>
  <si>
    <t xml:space="preserve">TC-16</t>
  </si>
  <si>
    <t xml:space="preserve">Create fails for another reason</t>
  </si>
  <si>
    <t xml:space="preserve">Test copy: invalid field name in the Lead create.</t>
  </si>
  <si>
    <t xml:space="preserve">POST a new email.</t>
  </si>
  <si>
    <t xml:space="preserve">Error response.</t>
  </si>
  <si>
    <t xml:space="preserve">Error Log row SF_INTEGRATION with Salesforce message; staging row retained.</t>
  </si>
  <si>
    <t xml:space="preserve">Several CPE rows for one email</t>
  </si>
  <si>
    <t xml:space="preserve">Two ContactPointEmail rows for the email: first with blank Id, second with Id.</t>
  </si>
  <si>
    <t xml:space="preserve">Id from the second row is used; no create.</t>
  </si>
  <si>
    <t xml:space="preserve">S4 / To Confirm 7</t>
  </si>
  <si>
    <t xml:space="preserve">Two simultaneous posts of the same NEW email</t>
  </si>
  <si>
    <t xml:space="preserve">New email. Postman Runner with 2 parallel iterations (or two tabs sent together).</t>
  </si>
  <si>
    <t xml:space="preserve">Send both at once.</t>
  </si>
  <si>
    <t xml:space="preserve">Either both 200, or one returns the error response (known residual risk).</t>
  </si>
  <si>
    <t xml:space="preserve">Exactly one Lead exists. Any failed call has a full Error Log row and a retained staging row. Record the outcome.</t>
  </si>
  <si>
    <t xml:space="preserve">TC-19</t>
  </si>
  <si>
    <t xml:space="preserve">Inquiry_Type posted but ignored</t>
  </si>
  <si>
    <t xml:space="preserve">Existing or new email.</t>
  </si>
  <si>
    <t xml:space="preserve">POST base payload plus Inquiry_Type = "Contact Us - Other".</t>
  </si>
  <si>
    <t xml:space="preserve">200; behaves like a normal submission.</t>
  </si>
  <si>
    <t xml:space="preserve">No Contact Us handling; Lead_Source_Detail equals the posted value; no Inquiry_Type value in any DE row.</t>
  </si>
  <si>
    <t xml:space="preserve">TC-20</t>
  </si>
  <si>
    <t xml:space="preserve">S1 / S2</t>
  </si>
  <si>
    <t xml:space="preserve">Code search</t>
  </si>
  <si>
    <t xml:space="preserve">Final code open in an editor.</t>
  </si>
  <si>
    <t xml:space="preserve">Search for: Inquiry, ContactUs, Contact Us, eventDefz, Notification, NoLead, RFP_Documents.</t>
  </si>
  <si>
    <t xml:space="preserve">Only comments mention them (Inquiry 4 hits, Contact Us 2). No executable code.</t>
  </si>
  <si>
    <t xml:space="preserve">CFP journey uses the key from the config DE</t>
  </si>
  <si>
    <t xml:space="preserve">Config DE row for the BU MID with CentralizedFormProcessor_Journey.</t>
  </si>
  <si>
    <t xml:space="preserve">Journey history shows entry into the journey whose key is in the DE (not APIEvent-a53a90f2...); entry source record has all fields incl. Salesforce_ID, PK_Email.</t>
  </si>
  <si>
    <t xml:space="preserve">Config row missing</t>
  </si>
  <si>
    <t xml:space="preserve">Test copy: wrong MID in the config lookup (or remove the row).</t>
  </si>
  <si>
    <t xml:space="preserve">200 (non-fatal).</t>
  </si>
  <si>
    <t xml:space="preserve">Error Log ERROR_NONFATAL [JOURNEY_CFP] "No CentralizedFormProcessor_Journey event key..." with all values; rest of processing completed.</t>
  </si>
  <si>
    <t xml:space="preserve">Dynamic journeys</t>
  </si>
  <si>
    <t xml:space="preserve">formName with 2 rows in FormName_Event_ID_Mapping_DE; second row has a wrong event id.</t>
  </si>
  <si>
    <t xml:space="preserve">First journey entered; second failure logged non-fatal [JOURNEY_DYNAMIC] (HTTP status in message); CFP journey still entered.</t>
  </si>
  <si>
    <t xml:space="preserve">Token failure</t>
  </si>
  <si>
    <t xml:space="preserve">Test copy: wrong client secret.</t>
  </si>
  <si>
    <t xml:space="preserve">Error Log ERROR_NONFATAL [JOURNEY_AUTH] with HTTP status; no journey entries; everything else saved.</t>
  </si>
  <si>
    <t xml:space="preserve">No Contact Us / Notification journey ever triggered</t>
  </si>
  <si>
    <t xml:space="preserve">Post with any Inquiry_Type value.</t>
  </si>
  <si>
    <t xml:space="preserve">Journey history shows no Contact Us or Internal Notification entry for the person.</t>
  </si>
  <si>
    <t xml:space="preserve">Invalid email</t>
  </si>
  <si>
    <t xml:space="preserve">POST with EmailAddress = "abc".</t>
  </si>
  <si>
    <t xml:space="preserve">Error response (status per TC-35).</t>
  </si>
  <si>
    <t xml:space="preserve">Error Log row [EMAIL_VALIDATION] with all submitted values; no staging row; no Salesforce change. Repeat with an empty email.</t>
  </si>
  <si>
    <t xml:space="preserve">S6 / Parity</t>
  </si>
  <si>
    <t xml:space="preserve">Over-length field</t>
  </si>
  <si>
    <t xml:space="preserve">POST with Company of 251 characters.</t>
  </si>
  <si>
    <t xml:space="preserve">Error Log row [INPUT_VALIDATION] naming "Company exceeds 250 characters"; Company stored cut to 250.</t>
  </si>
  <si>
    <t xml:space="preserve">TC-28</t>
  </si>
  <si>
    <t xml:space="preserve">Disallowed character</t>
  </si>
  <si>
    <t xml:space="preserve">POST FirstName = "Ann&lt;b&gt;" (also try @ and %).</t>
  </si>
  <si>
    <t xml:space="preserve">[INPUT_VALIDATION] "FirstName has disallowed characters".</t>
  </si>
  <si>
    <t xml:space="preserve">TC-29</t>
  </si>
  <si>
    <t xml:space="preserve">Message rules</t>
  </si>
  <si>
    <t xml:space="preserve">POST Message "Hello! Why?" then Message with a line break.</t>
  </si>
  <si>
    <t xml:space="preserve">First 200; second error response.</t>
  </si>
  <si>
    <t xml:space="preserve">Second logged as Message has disallowed characters.</t>
  </si>
  <si>
    <t xml:space="preserve">TC-30</t>
  </si>
  <si>
    <t xml:space="preserve">alert( pattern</t>
  </si>
  <si>
    <t xml:space="preserve">POST pageURL = "http://x/?alert(1)"; repeat for confirmationPage.</t>
  </si>
  <si>
    <t xml:space="preserve">[INPUT_VALIDATION] script pattern.</t>
  </si>
  <si>
    <t xml:space="preserve">POST Full_Page_URL &gt; 4000 chars; then containing alert(.</t>
  </si>
  <si>
    <t xml:space="preserve">Error response for both.</t>
  </si>
  <si>
    <t xml:space="preserve">[INPUT_VALIDATION]; valid URL (TC-01) is stored in the final DE.</t>
  </si>
  <si>
    <t xml:space="preserve">Error log content</t>
  </si>
  <si>
    <t xml:space="preserve">Force any failure (TC-15 is fine).</t>
  </si>
  <si>
    <t xml:space="preserve">Open the Error Log row.</t>
  </si>
  <si>
    <t xml:space="preserve">All posted values present (FirstName...marketingSubCampaign, Preferences, Function, Level, Department, Message, Full_Page_URL), RFP_Attachments, PrimaryKey, CFP_PK (= staging row CFP_PK), Page_Type = External, ErrorMessage "[STAGE] ... | HTTP=... | SFID=... | LOOKUP=... | t=+ms".</t>
  </si>
  <si>
    <t xml:space="preserve">Every stage logs</t>
  </si>
  <si>
    <t xml:space="preserve">Test copy, one forced failure per run.</t>
  </si>
  <si>
    <t xml:space="preserve">Force: staging insert, Salesforce stage, promotion, consent, associated list, name/preferences, subscriber/credentials, journey token lookup (outer), safety net.</t>
  </si>
  <si>
    <t xml:space="preserve">Error response each time.</t>
  </si>
  <si>
    <t xml:space="preserve">Error Log stage = STAGING_INSERT, SF_INTEGRATION, DATA_PROMOTION, CONSENT_UPDATE, ASSOCIATED_EMAILS, PREFERENCE_PROCESSING, SUBSCRIBER_ACTIVATION_OR_API_CREDENTIALS, JOURNEY_PROCESSING, CONSENT_SAFETY_NET respectively, each with all values.</t>
  </si>
  <si>
    <t xml:space="preserve">TC-34</t>
  </si>
  <si>
    <t xml:space="preserve">Log fallback</t>
  </si>
  <si>
    <t xml:space="preserve">Test copy: temporarily rename one column in the logger list to a non-existent name.</t>
  </si>
  <si>
    <t xml:space="preserve">Force a failure.</t>
  </si>
  <si>
    <t xml:space="preserve">A 4-column row (FirstName, LastName, EmailAddress, ErrorMessage) is still written. Revert the change.</t>
  </si>
  <si>
    <t xml:space="preserve">TC-35</t>
  </si>
  <si>
    <t xml:space="preserve">HTTP</t>
  </si>
  <si>
    <t xml:space="preserve">Status - invalid submission</t>
  </si>
  <si>
    <t xml:space="preserve">Mode RAISE_ERROR.</t>
  </si>
  <si>
    <t xml:space="preserve">POST invalid email. Record status line, headers and body in Postman.</t>
  </si>
  <si>
    <t xml:space="preserve">Intended 400.</t>
  </si>
  <si>
    <t xml:space="preserve">Record ACTUAL status: ______ . Body must not show internal details.</t>
  </si>
  <si>
    <t xml:space="preserve">TC-36</t>
  </si>
  <si>
    <t xml:space="preserve">Status - Salesforce failure</t>
  </si>
  <si>
    <t xml:space="preserve">Mode RAISE_ERROR; force Salesforce failure (TC-16).</t>
  </si>
  <si>
    <t xml:space="preserve">Intended 502.</t>
  </si>
  <si>
    <t xml:space="preserve">Record ACTUAL status: ______ .</t>
  </si>
  <si>
    <t xml:space="preserve">TC-37</t>
  </si>
  <si>
    <t xml:space="preserve">Status - internal failure</t>
  </si>
  <si>
    <t xml:space="preserve">Force a DE failure (staging insert).</t>
  </si>
  <si>
    <t xml:space="preserve">Intended 500.</t>
  </si>
  <si>
    <t xml:space="preserve">HTTP / Parity</t>
  </si>
  <si>
    <t xml:space="preserve">Success response</t>
  </si>
  <si>
    <t xml:space="preserve">Valid new submission.</t>
  </si>
  <si>
    <t xml:space="preserve">POST and view the raw body.</t>
  </si>
  <si>
    <t xml:space="preserve">Status 200.</t>
  </si>
  <si>
    <t xml:space="preserve">Body contains only the redirect script (no "Success", arrays, event ids or other debug text).</t>
  </si>
  <si>
    <t xml:space="preserve">TC-39</t>
  </si>
  <si>
    <t xml:space="preserve">Nothing internal exposed</t>
  </si>
  <si>
    <t xml:space="preserve">Any request.</t>
  </si>
  <si>
    <t xml:space="preserve">View raw body of success and error responses.</t>
  </si>
  <si>
    <t xml:space="preserve">No HTML comments, stage names, DE names or code comments in the response (error text only shows "CFP error &lt;status&gt; [stage] ref &lt;PrimaryKey&gt;").</t>
  </si>
  <si>
    <t xml:space="preserve">TC-40</t>
  </si>
  <si>
    <t xml:space="preserve">Rollback switch</t>
  </si>
  <si>
    <t xml:space="preserve">Test copy: CFP_ERROR_MODE = "REDIRECT".</t>
  </si>
  <si>
    <t xml:space="preserve">POST invalid email.</t>
  </si>
  <si>
    <t xml:space="preserve">Redirect (301/302) to the kpmg error page, as the old page.</t>
  </si>
  <si>
    <t xml:space="preserve">Confirms the old behaviour can be restored. Also try THROW and note the status.</t>
  </si>
  <si>
    <t xml:space="preserve">Old page vs new page, same payload</t>
  </si>
  <si>
    <t xml:space="preserve">Old code published as second page.</t>
  </si>
  <si>
    <t xml:space="preserve">Send identical payloads (different emails) for: new Lead, existing Lead, existing Contact, Opt Out lead.</t>
  </si>
  <si>
    <t xml:space="preserve">Same HTTP outcome.</t>
  </si>
  <si>
    <t xml:space="preserve">Compare Lead fields, IFD consent, Unsubscribe DEs, Subscriber_Preferences_Email, Audit_Preferences, final DE row (all columns except Inquiry_Type). Report any difference.</t>
  </si>
  <si>
    <t xml:space="preserve">Preferences 1-10</t>
  </si>
  <si>
    <t xml:space="preserve">Preference values configured.</t>
  </si>
  <si>
    <t xml:space="preserve">POST with mktAttribute1..10 filled, then with blanks and with a changed value for an existing person.</t>
  </si>
  <si>
    <t xml:space="preserve">Subscriber_Preferences_Email and Audit_Preferences rows identical to the old page for the same input.</t>
  </si>
  <si>
    <t xml:space="preserve">Subscriber activation</t>
  </si>
  <si>
    <t xml:space="preserve">Subscriber Unsubscribed/Held or absent in All Subscribers.</t>
  </si>
  <si>
    <t xml:space="preserve">Subscriber Active; SubscriberKey = Salesforce Id; same as old page.</t>
  </si>
  <si>
    <t xml:space="preserve">TC-44</t>
  </si>
  <si>
    <t xml:space="preserve">Defaults for blanks</t>
  </si>
  <si>
    <t xml:space="preserve">POST with db_annual_sales and db_employee_count empty.</t>
  </si>
  <si>
    <t xml:space="preserve">Lead AnnualRevenue / NumberOfEmployees = 0; final DE shows "0".</t>
  </si>
  <si>
    <t xml:space="preserve">TC-45</t>
  </si>
  <si>
    <t xml:space="preserve">RFP_Attachments normalisation</t>
  </si>
  <si>
    <t xml:space="preserve">POST RFP_Attachments = "abc", then "True".</t>
  </si>
  <si>
    <t xml:space="preserve">Stored value "False" then "True".</t>
  </si>
  <si>
    <t xml:space="preserve">Name retrieval / Initiated_By</t>
  </si>
  <si>
    <t xml:space="preserve">Existing Lead with name different from the posted name.</t>
  </si>
  <si>
    <t xml:space="preserve">POST (Opt Out lead with associated email so audit rows are written).</t>
  </si>
  <si>
    <t xml:space="preserve">Audit "Initiated_By" and preference audit use the same name logic as the old page.</t>
  </si>
  <si>
    <t xml:space="preserve">Staging record lifecycle</t>
  </si>
  <si>
    <t xml:space="preserve">Success case, then a failure case.</t>
  </si>
  <si>
    <t xml:space="preserve">Success: staging row removed after the final row exists. Failure: staging row present with the same values as posted (53 columns).</t>
  </si>
  <si>
    <t xml:space="preserve">S1 / Parity</t>
  </si>
  <si>
    <t xml:space="preserve">Promotion is insert-first</t>
  </si>
  <si>
    <t xml:space="preserve">Test copy: wrong DE name in the Stage 3 insert.</t>
  </si>
  <si>
    <t xml:space="preserve">Staging row still exists (old page would have deleted it first). Error Log stage DATA_PROMOTION. Also confirm Inquiry_Type column accepts empty values (normal run succeeds).</t>
  </si>
  <si>
    <t xml:space="preserve">Consent safety net</t>
  </si>
  <si>
    <t xml:space="preserve">New Lead where the IFD is created late (or test copy with CFP_CREATE_WAIT_MS = 0).</t>
  </si>
  <si>
    <t xml:space="preserve">Final IFD consent = Opt In (set by stage 4 or the safety net).</t>
  </si>
  <si>
    <t xml:space="preserve">Perf / To Confirm 2</t>
  </si>
  <si>
    <t xml:space="preserve">Wait switch</t>
  </si>
  <si>
    <t xml:space="preserve">Existing Lead.</t>
  </si>
  <si>
    <t xml:space="preserve">Time 5 posts with CFP_ALWAYS_WAIT = false, then 5 with true.</t>
  </si>
  <si>
    <t xml:space="preserve">false: about 3 s faster than true for existing records; new Lead takes the wait in both modes.</t>
  </si>
  <si>
    <t xml:space="preserve">TC-51</t>
  </si>
  <si>
    <t xml:space="preserve">Perf</t>
  </si>
  <si>
    <t xml:space="preserve">Timing old vs new</t>
  </si>
  <si>
    <t xml:space="preserve">Old and new pages.</t>
  </si>
  <si>
    <t xml:space="preserve">Time 10 posts each: existing Lead, new Lead.</t>
  </si>
  <si>
    <t xml:space="preserve">Record averages; expect existing record faster, new Lead similar.</t>
  </si>
  <si>
    <t xml:space="preserve">TC-52</t>
  </si>
  <si>
    <t xml:space="preserve">Eligible Function with existing Contact but sync DE empty</t>
  </si>
  <si>
    <t xml:space="preserve">Contact with live CPE.</t>
  </si>
  <si>
    <t xml:space="preserve">Primary lookup finds it; FB steps not used; no extra calls.</t>
  </si>
  <si>
    <t xml:space="preserve">TC-53</t>
  </si>
  <si>
    <t xml:space="preserve">Special characters allowed by the rules</t>
  </si>
  <si>
    <t xml:space="preserve">POST company "A&amp;B (Test) - #1, Inc." and name "O'Neil".</t>
  </si>
  <si>
    <t xml:space="preserve">Saved unchanged to Lead and DEs.</t>
  </si>
  <si>
    <t xml:space="preserve">TC-54</t>
  </si>
  <si>
    <t xml:space="preserve">Regression</t>
  </si>
  <si>
    <t xml:space="preserve">Page works with GET preview / empty post</t>
  </si>
  <si>
    <t xml:space="preserve">Test copy.</t>
  </si>
  <si>
    <t xml:space="preserve">Open the page in a browser without parameters.</t>
  </si>
  <si>
    <t xml:space="preserve">Error response (invalid email).</t>
  </si>
  <si>
    <t xml:space="preserve">Error Log row [EMAIL_VALIDATION]; no data written.</t>
  </si>
  <si>
    <t xml:space="preserve">TC-55</t>
  </si>
  <si>
    <t xml:space="preserve">Long-running safety</t>
  </si>
  <si>
    <t xml:space="preserve">Existing record, all journeys.</t>
  </si>
  <si>
    <t xml:space="preserve">POST 20 requests sequentially.</t>
  </si>
  <si>
    <t xml:space="preserve">All 200.</t>
  </si>
  <si>
    <t xml:space="preserve">No Error Log rows; no leftovers in NoSFID.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</si>
</sst>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338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338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D6"/>
      </left>
      <right style="thin">
        <color rgb="FFB7C2D6"/>
      </right>
      <top style="thin">
        <color rgb="FFB7C2D6"/>
      </top>
      <bottom style="thin">
        <color rgb="FFB7C2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338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>
          <bgColor rgb="FFE3F4E8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2D6"/>
      <rgbColor rgb="FF808080"/>
      <rgbColor rgb="FF9999FF"/>
      <rgbColor rgb="FF993366"/>
      <rgbColor rgb="FFFFFFCC"/>
      <rgbColor rgb="FFE3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8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2" t="s">
        <v>9</v>
      </c>
    </row>
    <row r="13" customFormat="false" ht="23.8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23.8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16</v>
      </c>
    </row>
    <row r="2" customFormat="false" ht="15" hidden="false" customHeight="false" outlineLevel="0" collapsed="false">
      <c r="A2" s="5" t="s">
        <v>17</v>
      </c>
      <c r="B2" s="6" t="n">
        <f aca="false">COUNTA('Test Cases'!A2:A56)</f>
        <v>55</v>
      </c>
    </row>
    <row r="3" customFormat="false" ht="15" hidden="false" customHeight="false" outlineLevel="0" collapsed="false">
      <c r="A3" s="5" t="s">
        <v>18</v>
      </c>
      <c r="B3" s="6" t="n">
        <f aca="false">COUNTIF('Test Cases'!H2:H56,"Pass")</f>
        <v>0</v>
      </c>
    </row>
    <row r="4" customFormat="false" ht="15" hidden="false" customHeight="false" outlineLevel="0" collapsed="false">
      <c r="A4" s="5" t="s">
        <v>19</v>
      </c>
      <c r="B4" s="6" t="n">
        <f aca="false">COUNTIF('Test Cases'!H2:H56,"Fail")</f>
        <v>0</v>
      </c>
    </row>
    <row r="5" customFormat="false" ht="15" hidden="false" customHeight="false" outlineLevel="0" collapsed="false">
      <c r="A5" s="5" t="s">
        <v>20</v>
      </c>
      <c r="B5" s="6" t="n">
        <f aca="false">COUNTIF('Test Cases'!H2:H56,"Blocked")</f>
        <v>0</v>
      </c>
    </row>
    <row r="6" customFormat="false" ht="15" hidden="false" customHeight="false" outlineLevel="0" collapsed="false">
      <c r="A6" s="5" t="s">
        <v>21</v>
      </c>
      <c r="B6" s="6" t="n">
        <f aca="false">COUNTIF('Test Cases'!H2:H56,"Not run")</f>
        <v>55</v>
      </c>
    </row>
    <row r="7" customFormat="false" ht="15" hidden="false" customHeight="false" outlineLevel="0" collapsed="false">
      <c r="A7" s="5" t="s">
        <v>22</v>
      </c>
      <c r="B7" s="7" t="n">
        <f aca="false">IF(B3+B4=0,0,B3/(B3+B4))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28"/>
    <col collapsed="false" customWidth="true" hidden="false" outlineLevel="0" max="5" min="5" style="0" width="50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3.85" hidden="false" customHeight="fals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</row>
    <row r="2" customFormat="false" ht="46.25" hidden="false" customHeight="false" outlineLevel="0" collapsed="false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</row>
    <row r="3" customFormat="false" ht="35.05" hidden="false" customHeight="false" outlineLevel="0" collapsed="false">
      <c r="A3" s="9" t="s">
        <v>30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</row>
    <row r="4" customFormat="false" ht="35.05" hidden="false" customHeight="false" outlineLevel="0" collapsed="false">
      <c r="A4" s="9" t="s">
        <v>43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35</v>
      </c>
      <c r="G4" s="9" t="s">
        <v>48</v>
      </c>
    </row>
    <row r="5" customFormat="false" ht="35.05" hidden="false" customHeight="false" outlineLevel="0" collapsed="false">
      <c r="A5" s="9" t="s">
        <v>43</v>
      </c>
      <c r="B5" s="9" t="s">
        <v>49</v>
      </c>
      <c r="C5" s="9" t="s">
        <v>50</v>
      </c>
      <c r="D5" s="9" t="s">
        <v>51</v>
      </c>
      <c r="E5" s="9" t="s">
        <v>52</v>
      </c>
      <c r="F5" s="9" t="s">
        <v>53</v>
      </c>
      <c r="G5" s="9" t="s">
        <v>54</v>
      </c>
    </row>
    <row r="6" customFormat="false" ht="23.85" hidden="false" customHeight="false" outlineLevel="0" collapsed="false">
      <c r="A6" s="9" t="s">
        <v>55</v>
      </c>
      <c r="B6" s="9" t="s">
        <v>56</v>
      </c>
      <c r="C6" s="9" t="s">
        <v>57</v>
      </c>
      <c r="D6" s="9" t="s">
        <v>58</v>
      </c>
      <c r="E6" s="9" t="s">
        <v>59</v>
      </c>
      <c r="F6" s="9" t="s">
        <v>35</v>
      </c>
      <c r="G6" s="9" t="s">
        <v>60</v>
      </c>
    </row>
    <row r="7" customFormat="false" ht="23.85" hidden="false" customHeight="false" outlineLevel="0" collapsed="false">
      <c r="A7" s="9" t="s">
        <v>55</v>
      </c>
      <c r="B7" s="9" t="s">
        <v>61</v>
      </c>
      <c r="C7" s="9" t="s">
        <v>62</v>
      </c>
      <c r="D7" s="9" t="s">
        <v>63</v>
      </c>
      <c r="E7" s="9" t="s">
        <v>64</v>
      </c>
      <c r="F7" s="9" t="s">
        <v>35</v>
      </c>
      <c r="G7" s="9" t="s">
        <v>65</v>
      </c>
    </row>
    <row r="8" customFormat="false" ht="46.25" hidden="false" customHeight="false" outlineLevel="0" collapsed="false">
      <c r="A8" s="9" t="s">
        <v>55</v>
      </c>
      <c r="B8" s="9" t="s">
        <v>66</v>
      </c>
      <c r="C8" s="9" t="s">
        <v>67</v>
      </c>
      <c r="D8" s="9" t="s">
        <v>68</v>
      </c>
      <c r="E8" s="9" t="s">
        <v>69</v>
      </c>
      <c r="F8" s="9" t="s">
        <v>35</v>
      </c>
      <c r="G8" s="9" t="s">
        <v>70</v>
      </c>
    </row>
    <row r="9" customFormat="false" ht="35.05" hidden="false" customHeight="false" outlineLevel="0" collapsed="false">
      <c r="A9" s="9" t="s">
        <v>71</v>
      </c>
      <c r="B9" s="9" t="s">
        <v>72</v>
      </c>
      <c r="C9" s="9" t="s">
        <v>73</v>
      </c>
      <c r="D9" s="9" t="s">
        <v>74</v>
      </c>
      <c r="E9" s="9" t="s">
        <v>75</v>
      </c>
      <c r="F9" s="9" t="s">
        <v>76</v>
      </c>
      <c r="G9" s="9" t="s">
        <v>77</v>
      </c>
    </row>
    <row r="10" customFormat="false" ht="23.85" hidden="false" customHeight="false" outlineLevel="0" collapsed="false">
      <c r="A10" s="9" t="s">
        <v>71</v>
      </c>
      <c r="B10" s="9" t="s">
        <v>78</v>
      </c>
      <c r="C10" s="9" t="s">
        <v>79</v>
      </c>
      <c r="D10" s="9" t="s">
        <v>80</v>
      </c>
      <c r="E10" s="9" t="s">
        <v>81</v>
      </c>
      <c r="F10" s="9" t="s">
        <v>35</v>
      </c>
      <c r="G10" s="9" t="s">
        <v>82</v>
      </c>
    </row>
    <row r="11" customFormat="false" ht="57.45" hidden="false" customHeight="false" outlineLevel="0" collapsed="false">
      <c r="A11" s="9" t="s">
        <v>71</v>
      </c>
      <c r="B11" s="9" t="s">
        <v>83</v>
      </c>
      <c r="C11" s="9" t="s">
        <v>84</v>
      </c>
      <c r="D11" s="9" t="s">
        <v>85</v>
      </c>
      <c r="E11" s="9" t="s">
        <v>86</v>
      </c>
      <c r="F11" s="9" t="s">
        <v>87</v>
      </c>
      <c r="G11" s="9" t="s">
        <v>88</v>
      </c>
    </row>
    <row r="12" customFormat="false" ht="35.05" hidden="false" customHeight="false" outlineLevel="0" collapsed="false">
      <c r="A12" s="9" t="s">
        <v>89</v>
      </c>
      <c r="B12" s="9" t="s">
        <v>90</v>
      </c>
      <c r="C12" s="9" t="s">
        <v>91</v>
      </c>
      <c r="D12" s="9" t="s">
        <v>92</v>
      </c>
      <c r="E12" s="9" t="s">
        <v>93</v>
      </c>
      <c r="F12" s="9" t="s">
        <v>35</v>
      </c>
      <c r="G12" s="9" t="s">
        <v>94</v>
      </c>
    </row>
    <row r="13" customFormat="false" ht="23.85" hidden="false" customHeight="false" outlineLevel="0" collapsed="false">
      <c r="A13" s="9" t="s">
        <v>89</v>
      </c>
      <c r="B13" s="9" t="s">
        <v>95</v>
      </c>
      <c r="C13" s="9" t="s">
        <v>96</v>
      </c>
      <c r="D13" s="9" t="s">
        <v>97</v>
      </c>
      <c r="E13" s="9" t="s">
        <v>98</v>
      </c>
      <c r="F13" s="9" t="s">
        <v>35</v>
      </c>
      <c r="G13" s="9" t="s">
        <v>99</v>
      </c>
    </row>
    <row r="14" customFormat="false" ht="35.05" hidden="false" customHeight="false" outlineLevel="0" collapsed="false">
      <c r="A14" s="9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35</v>
      </c>
      <c r="G14" s="9" t="s">
        <v>105</v>
      </c>
    </row>
    <row r="15" customFormat="false" ht="35.05" hidden="false" customHeight="false" outlineLevel="0" collapsed="false">
      <c r="A15" s="9" t="s">
        <v>100</v>
      </c>
      <c r="B15" s="9" t="s">
        <v>106</v>
      </c>
      <c r="C15" s="9" t="s">
        <v>107</v>
      </c>
      <c r="D15" s="9" t="s">
        <v>108</v>
      </c>
      <c r="E15" s="9" t="s">
        <v>109</v>
      </c>
      <c r="F15" s="9" t="s">
        <v>35</v>
      </c>
      <c r="G15" s="9" t="s">
        <v>110</v>
      </c>
    </row>
    <row r="16" customFormat="false" ht="23.85" hidden="false" customHeight="false" outlineLevel="0" collapsed="false">
      <c r="A16" s="9" t="s">
        <v>111</v>
      </c>
      <c r="B16" s="9" t="s">
        <v>112</v>
      </c>
      <c r="C16" s="9" t="s">
        <v>113</v>
      </c>
      <c r="D16" s="9" t="s">
        <v>114</v>
      </c>
      <c r="E16" s="9" t="s">
        <v>115</v>
      </c>
      <c r="F16" s="9" t="s">
        <v>35</v>
      </c>
      <c r="G16" s="9" t="s">
        <v>114</v>
      </c>
    </row>
    <row r="17" customFormat="false" ht="35.05" hidden="false" customHeight="false" outlineLevel="0" collapsed="false">
      <c r="A17" s="9" t="s">
        <v>116</v>
      </c>
      <c r="B17" s="9" t="s">
        <v>117</v>
      </c>
      <c r="C17" s="9" t="s">
        <v>118</v>
      </c>
      <c r="D17" s="9" t="s">
        <v>119</v>
      </c>
      <c r="E17" s="9" t="s">
        <v>120</v>
      </c>
      <c r="F17" s="9" t="s">
        <v>121</v>
      </c>
      <c r="G17" s="9" t="s">
        <v>122</v>
      </c>
    </row>
    <row r="18" customFormat="false" ht="23.85" hidden="false" customHeight="false" outlineLevel="0" collapsed="false">
      <c r="A18" s="9" t="s">
        <v>116</v>
      </c>
      <c r="B18" s="9" t="s">
        <v>123</v>
      </c>
      <c r="C18" s="9" t="s">
        <v>124</v>
      </c>
      <c r="D18" s="9" t="s">
        <v>125</v>
      </c>
      <c r="E18" s="9" t="s">
        <v>126</v>
      </c>
      <c r="F18" s="9" t="s">
        <v>35</v>
      </c>
      <c r="G18" s="9" t="s">
        <v>127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7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8" t="s">
        <v>128</v>
      </c>
      <c r="B1" s="8" t="s">
        <v>129</v>
      </c>
      <c r="C1" s="8" t="s">
        <v>130</v>
      </c>
      <c r="D1" s="8" t="s">
        <v>131</v>
      </c>
      <c r="E1" s="8" t="s">
        <v>111</v>
      </c>
      <c r="F1" s="8" t="s">
        <v>29</v>
      </c>
    </row>
    <row r="2" customFormat="false" ht="23.85" hidden="false" customHeight="false" outlineLevel="0" collapsed="false">
      <c r="A2" s="9" t="s">
        <v>132</v>
      </c>
      <c r="B2" s="9" t="s">
        <v>133</v>
      </c>
      <c r="C2" s="9" t="s">
        <v>134</v>
      </c>
      <c r="D2" s="9" t="s">
        <v>135</v>
      </c>
      <c r="E2" s="9" t="s">
        <v>136</v>
      </c>
      <c r="F2" s="9" t="s">
        <v>137</v>
      </c>
    </row>
    <row r="3" customFormat="false" ht="15" hidden="false" customHeight="false" outlineLevel="0" collapsed="false">
      <c r="A3" s="9" t="s">
        <v>138</v>
      </c>
      <c r="B3" s="9" t="s">
        <v>139</v>
      </c>
      <c r="C3" s="9" t="s">
        <v>140</v>
      </c>
      <c r="D3" s="9" t="s">
        <v>141</v>
      </c>
      <c r="E3" s="9" t="s">
        <v>142</v>
      </c>
      <c r="F3" s="9" t="s">
        <v>143</v>
      </c>
    </row>
    <row r="4" customFormat="false" ht="23.85" hidden="false" customHeight="false" outlineLevel="0" collapsed="false">
      <c r="A4" s="9" t="s">
        <v>144</v>
      </c>
      <c r="B4" s="9" t="s">
        <v>145</v>
      </c>
      <c r="C4" s="9" t="s">
        <v>146</v>
      </c>
      <c r="D4" s="9" t="s">
        <v>147</v>
      </c>
      <c r="E4" s="9" t="s">
        <v>148</v>
      </c>
      <c r="F4" s="9" t="s">
        <v>149</v>
      </c>
    </row>
    <row r="5" customFormat="false" ht="15" hidden="false" customHeight="false" outlineLevel="0" collapsed="false">
      <c r="A5" s="9" t="s">
        <v>150</v>
      </c>
      <c r="B5" s="9" t="s">
        <v>151</v>
      </c>
      <c r="C5" s="9" t="s">
        <v>152</v>
      </c>
      <c r="D5" s="9" t="s">
        <v>147</v>
      </c>
      <c r="E5" s="9"/>
      <c r="F5" s="9" t="s">
        <v>153</v>
      </c>
    </row>
    <row r="6" customFormat="false" ht="15" hidden="false" customHeight="false" outlineLevel="0" collapsed="false">
      <c r="A6" s="9" t="s">
        <v>154</v>
      </c>
      <c r="B6" s="9" t="s">
        <v>155</v>
      </c>
      <c r="C6" s="9" t="s">
        <v>156</v>
      </c>
      <c r="D6" s="9" t="s">
        <v>157</v>
      </c>
      <c r="E6" s="9"/>
      <c r="F6" s="9" t="s">
        <v>158</v>
      </c>
    </row>
    <row r="7" customFormat="false" ht="23.85" hidden="false" customHeight="false" outlineLevel="0" collapsed="false">
      <c r="A7" s="9" t="s">
        <v>159</v>
      </c>
      <c r="B7" s="9" t="s">
        <v>160</v>
      </c>
      <c r="C7" s="9" t="s">
        <v>156</v>
      </c>
      <c r="D7" s="9" t="s">
        <v>161</v>
      </c>
      <c r="E7" s="9" t="s">
        <v>162</v>
      </c>
      <c r="F7" s="9" t="s">
        <v>163</v>
      </c>
    </row>
    <row r="8" customFormat="false" ht="23.85" hidden="false" customHeight="false" outlineLevel="0" collapsed="false">
      <c r="A8" s="9" t="s">
        <v>164</v>
      </c>
      <c r="B8" s="9" t="s">
        <v>165</v>
      </c>
      <c r="C8" s="9" t="s">
        <v>166</v>
      </c>
      <c r="D8" s="9" t="s">
        <v>147</v>
      </c>
      <c r="E8" s="9"/>
      <c r="F8" s="9" t="s">
        <v>167</v>
      </c>
    </row>
    <row r="9" customFormat="false" ht="15" hidden="false" customHeight="false" outlineLevel="0" collapsed="false">
      <c r="A9" s="9" t="s">
        <v>168</v>
      </c>
      <c r="B9" s="9" t="s">
        <v>169</v>
      </c>
      <c r="C9" s="9" t="s">
        <v>170</v>
      </c>
      <c r="D9" s="9" t="s">
        <v>147</v>
      </c>
      <c r="E9" s="9" t="s">
        <v>171</v>
      </c>
      <c r="F9" s="9" t="s">
        <v>172</v>
      </c>
    </row>
    <row r="10" customFormat="false" ht="15" hidden="false" customHeight="false" outlineLevel="0" collapsed="false">
      <c r="A10" s="9" t="s">
        <v>173</v>
      </c>
      <c r="B10" s="9" t="s">
        <v>174</v>
      </c>
      <c r="C10" s="9" t="s">
        <v>175</v>
      </c>
      <c r="D10" s="9" t="s">
        <v>147</v>
      </c>
      <c r="E10" s="9" t="s">
        <v>176</v>
      </c>
      <c r="F10" s="9" t="s">
        <v>177</v>
      </c>
    </row>
    <row r="11" customFormat="false" ht="15" hidden="false" customHeight="false" outlineLevel="0" collapsed="false">
      <c r="A11" s="9" t="s">
        <v>178</v>
      </c>
      <c r="B11" s="9" t="s">
        <v>179</v>
      </c>
      <c r="C11" s="9" t="s">
        <v>180</v>
      </c>
      <c r="D11" s="9" t="s">
        <v>181</v>
      </c>
      <c r="E11" s="9" t="s">
        <v>182</v>
      </c>
      <c r="F11" s="9" t="s">
        <v>183</v>
      </c>
    </row>
    <row r="12" customFormat="false" ht="15" hidden="false" customHeight="false" outlineLevel="0" collapsed="false">
      <c r="A12" s="9" t="s">
        <v>184</v>
      </c>
      <c r="B12" s="9" t="s">
        <v>185</v>
      </c>
      <c r="C12" s="9" t="s">
        <v>68</v>
      </c>
      <c r="D12" s="9" t="s">
        <v>147</v>
      </c>
      <c r="E12" s="9"/>
      <c r="F12" s="9" t="s">
        <v>186</v>
      </c>
    </row>
    <row r="13" customFormat="false" ht="15" hidden="false" customHeight="false" outlineLevel="0" collapsed="false">
      <c r="A13" s="9" t="s">
        <v>187</v>
      </c>
      <c r="B13" s="9" t="s">
        <v>188</v>
      </c>
      <c r="C13" s="9" t="s">
        <v>68</v>
      </c>
      <c r="D13" s="9" t="s">
        <v>147</v>
      </c>
      <c r="E13" s="9" t="s">
        <v>189</v>
      </c>
      <c r="F13" s="9" t="s">
        <v>190</v>
      </c>
    </row>
    <row r="14" customFormat="false" ht="15" hidden="false" customHeight="false" outlineLevel="0" collapsed="false">
      <c r="A14" s="9" t="s">
        <v>191</v>
      </c>
      <c r="B14" s="9" t="s">
        <v>192</v>
      </c>
      <c r="C14" s="9" t="s">
        <v>63</v>
      </c>
      <c r="D14" s="9" t="s">
        <v>147</v>
      </c>
      <c r="E14" s="9" t="s">
        <v>189</v>
      </c>
      <c r="F14" s="9" t="s">
        <v>193</v>
      </c>
    </row>
    <row r="15" customFormat="false" ht="15" hidden="false" customHeight="false" outlineLevel="0" collapsed="false">
      <c r="A15" s="9" t="s">
        <v>194</v>
      </c>
      <c r="B15" s="9" t="s">
        <v>195</v>
      </c>
      <c r="C15" s="9" t="s">
        <v>63</v>
      </c>
      <c r="D15" s="9" t="s">
        <v>147</v>
      </c>
      <c r="E15" s="9"/>
      <c r="F15" s="9" t="s">
        <v>193</v>
      </c>
    </row>
    <row r="16" customFormat="false" ht="23.85" hidden="false" customHeight="false" outlineLevel="0" collapsed="false">
      <c r="A16" s="9" t="s">
        <v>196</v>
      </c>
      <c r="B16" s="9" t="s">
        <v>197</v>
      </c>
      <c r="C16" s="9" t="s">
        <v>198</v>
      </c>
      <c r="D16" s="9" t="s">
        <v>199</v>
      </c>
      <c r="E16" s="9" t="s">
        <v>200</v>
      </c>
      <c r="F16" s="9" t="s">
        <v>201</v>
      </c>
    </row>
    <row r="17" customFormat="false" ht="23.85" hidden="false" customHeight="false" outlineLevel="0" collapsed="false">
      <c r="A17" s="9" t="s">
        <v>202</v>
      </c>
      <c r="B17" s="9" t="s">
        <v>203</v>
      </c>
      <c r="C17" s="9" t="s">
        <v>114</v>
      </c>
      <c r="D17" s="9" t="s">
        <v>204</v>
      </c>
      <c r="E17" s="9"/>
      <c r="F17" s="9" t="s">
        <v>36</v>
      </c>
    </row>
    <row r="18" customFormat="false" ht="23.85" hidden="false" customHeight="false" outlineLevel="0" collapsed="false">
      <c r="A18" s="9" t="s">
        <v>205</v>
      </c>
      <c r="B18" s="9" t="s">
        <v>206</v>
      </c>
      <c r="C18" s="9" t="s">
        <v>207</v>
      </c>
      <c r="D18" s="9" t="s">
        <v>199</v>
      </c>
      <c r="E18" s="9" t="s">
        <v>208</v>
      </c>
      <c r="F18" s="9" t="s">
        <v>209</v>
      </c>
    </row>
    <row r="19" customFormat="false" ht="15" hidden="false" customHeight="false" outlineLevel="0" collapsed="false">
      <c r="A19" s="9" t="s">
        <v>210</v>
      </c>
      <c r="B19" s="9" t="s">
        <v>211</v>
      </c>
      <c r="C19" s="9" t="s">
        <v>207</v>
      </c>
      <c r="D19" s="9" t="s">
        <v>212</v>
      </c>
      <c r="E19" s="9" t="s">
        <v>213</v>
      </c>
      <c r="F19" s="9" t="s">
        <v>209</v>
      </c>
    </row>
    <row r="20" customFormat="false" ht="15" hidden="false" customHeight="false" outlineLevel="0" collapsed="false">
      <c r="A20" s="9" t="s">
        <v>214</v>
      </c>
      <c r="B20" s="9" t="s">
        <v>215</v>
      </c>
      <c r="C20" s="9" t="s">
        <v>216</v>
      </c>
      <c r="D20" s="9" t="s">
        <v>147</v>
      </c>
      <c r="E20" s="9"/>
      <c r="F20" s="9" t="s">
        <v>217</v>
      </c>
    </row>
    <row r="21" customFormat="false" ht="15" hidden="false" customHeight="false" outlineLevel="0" collapsed="false">
      <c r="A21" s="9" t="s">
        <v>218</v>
      </c>
      <c r="B21" s="9" t="s">
        <v>219</v>
      </c>
      <c r="C21" s="9" t="s">
        <v>114</v>
      </c>
      <c r="D21" s="9" t="s">
        <v>220</v>
      </c>
      <c r="E21" s="9" t="s">
        <v>221</v>
      </c>
      <c r="F21" s="9" t="s">
        <v>186</v>
      </c>
    </row>
    <row r="22" customFormat="false" ht="23.85" hidden="false" customHeight="false" outlineLevel="0" collapsed="false">
      <c r="A22" s="9" t="s">
        <v>222</v>
      </c>
      <c r="B22" s="9" t="s">
        <v>223</v>
      </c>
      <c r="C22" s="9" t="s">
        <v>216</v>
      </c>
      <c r="D22" s="9" t="s">
        <v>224</v>
      </c>
      <c r="E22" s="9" t="s">
        <v>225</v>
      </c>
      <c r="F22" s="9" t="s">
        <v>226</v>
      </c>
    </row>
    <row r="23" customFormat="false" ht="15" hidden="false" customHeight="false" outlineLevel="0" collapsed="false">
      <c r="A23" s="9" t="s">
        <v>227</v>
      </c>
      <c r="B23" s="9" t="s">
        <v>228</v>
      </c>
      <c r="C23" s="9" t="s">
        <v>229</v>
      </c>
      <c r="D23" s="9" t="s">
        <v>230</v>
      </c>
      <c r="E23" s="9" t="s">
        <v>231</v>
      </c>
      <c r="F23" s="9" t="s">
        <v>232</v>
      </c>
    </row>
    <row r="24" customFormat="false" ht="23.85" hidden="false" customHeight="false" outlineLevel="0" collapsed="false">
      <c r="A24" s="9" t="s">
        <v>233</v>
      </c>
      <c r="B24" s="9" t="s">
        <v>234</v>
      </c>
      <c r="C24" s="9" t="s">
        <v>235</v>
      </c>
      <c r="D24" s="9" t="s">
        <v>236</v>
      </c>
      <c r="E24" s="9" t="s">
        <v>237</v>
      </c>
      <c r="F24" s="9" t="s">
        <v>238</v>
      </c>
    </row>
    <row r="25" customFormat="false" ht="15" hidden="false" customHeight="false" outlineLevel="0" collapsed="false">
      <c r="A25" s="9" t="s">
        <v>239</v>
      </c>
      <c r="B25" s="9" t="s">
        <v>240</v>
      </c>
      <c r="C25" s="9" t="s">
        <v>241</v>
      </c>
      <c r="D25" s="9" t="s">
        <v>242</v>
      </c>
      <c r="E25" s="9"/>
      <c r="F25" s="9" t="s">
        <v>243</v>
      </c>
    </row>
    <row r="26" customFormat="false" ht="23.85" hidden="false" customHeight="false" outlineLevel="0" collapsed="false">
      <c r="A26" s="9" t="s">
        <v>244</v>
      </c>
      <c r="B26" s="9" t="s">
        <v>245</v>
      </c>
      <c r="C26" s="9" t="s">
        <v>241</v>
      </c>
      <c r="D26" s="9" t="s">
        <v>242</v>
      </c>
      <c r="E26" s="9" t="s">
        <v>246</v>
      </c>
      <c r="F26" s="9" t="s">
        <v>247</v>
      </c>
    </row>
    <row r="27" customFormat="false" ht="15" hidden="false" customHeight="false" outlineLevel="0" collapsed="false">
      <c r="A27" s="9" t="s">
        <v>248</v>
      </c>
      <c r="B27" s="9" t="s">
        <v>249</v>
      </c>
      <c r="C27" s="9" t="s">
        <v>250</v>
      </c>
      <c r="D27" s="9" t="s">
        <v>242</v>
      </c>
      <c r="E27" s="9"/>
      <c r="F27" s="9" t="s">
        <v>251</v>
      </c>
    </row>
    <row r="28" customFormat="false" ht="15" hidden="false" customHeight="false" outlineLevel="0" collapsed="false">
      <c r="A28" s="9" t="s">
        <v>252</v>
      </c>
      <c r="B28" s="9" t="s">
        <v>253</v>
      </c>
      <c r="C28" s="9" t="s">
        <v>250</v>
      </c>
      <c r="D28" s="9" t="s">
        <v>242</v>
      </c>
      <c r="E28" s="9" t="s">
        <v>254</v>
      </c>
      <c r="F28" s="9" t="s">
        <v>255</v>
      </c>
    </row>
    <row r="29" customFormat="false" ht="15" hidden="false" customHeight="false" outlineLevel="0" collapsed="false">
      <c r="A29" s="9" t="s">
        <v>256</v>
      </c>
      <c r="B29" s="9" t="s">
        <v>257</v>
      </c>
      <c r="C29" s="9" t="s">
        <v>250</v>
      </c>
      <c r="D29" s="9" t="s">
        <v>147</v>
      </c>
      <c r="E29" s="9"/>
      <c r="F29" s="9" t="s">
        <v>258</v>
      </c>
    </row>
    <row r="30" customFormat="false" ht="15" hidden="false" customHeight="false" outlineLevel="0" collapsed="false">
      <c r="A30" s="9" t="s">
        <v>259</v>
      </c>
      <c r="B30" s="9" t="s">
        <v>260</v>
      </c>
      <c r="C30" s="9" t="s">
        <v>46</v>
      </c>
      <c r="D30" s="9" t="s">
        <v>261</v>
      </c>
      <c r="E30" s="9" t="s">
        <v>262</v>
      </c>
      <c r="F30" s="9" t="s">
        <v>255</v>
      </c>
    </row>
    <row r="31" customFormat="false" ht="23.85" hidden="false" customHeight="false" outlineLevel="0" collapsed="false">
      <c r="A31" s="9" t="s">
        <v>263</v>
      </c>
      <c r="B31" s="9" t="s">
        <v>264</v>
      </c>
      <c r="C31" s="9" t="s">
        <v>265</v>
      </c>
      <c r="D31" s="9" t="s">
        <v>266</v>
      </c>
      <c r="E31" s="9" t="s">
        <v>267</v>
      </c>
      <c r="F31" s="9" t="s">
        <v>268</v>
      </c>
    </row>
    <row r="32" customFormat="false" ht="15" hidden="false" customHeight="false" outlineLevel="0" collapsed="false">
      <c r="A32" s="9" t="s">
        <v>269</v>
      </c>
      <c r="B32" s="9" t="s">
        <v>270</v>
      </c>
      <c r="C32" s="9" t="s">
        <v>51</v>
      </c>
      <c r="D32" s="9" t="s">
        <v>271</v>
      </c>
      <c r="E32" s="9" t="s">
        <v>272</v>
      </c>
      <c r="F32" s="9" t="s">
        <v>54</v>
      </c>
    </row>
    <row r="33" customFormat="false" ht="15" hidden="false" customHeight="false" outlineLevel="0" collapsed="false">
      <c r="A33" s="9" t="s">
        <v>273</v>
      </c>
      <c r="B33" s="9" t="s">
        <v>274</v>
      </c>
      <c r="C33" s="9" t="s">
        <v>114</v>
      </c>
      <c r="D33" s="9" t="s">
        <v>275</v>
      </c>
      <c r="E33" s="9"/>
      <c r="F33" s="9" t="s">
        <v>276</v>
      </c>
    </row>
    <row r="34" customFormat="false" ht="15" hidden="false" customHeight="false" outlineLevel="0" collapsed="false">
      <c r="A34" s="9" t="s">
        <v>277</v>
      </c>
      <c r="B34" s="9" t="s">
        <v>278</v>
      </c>
      <c r="C34" s="9" t="s">
        <v>114</v>
      </c>
      <c r="D34" s="9" t="s">
        <v>279</v>
      </c>
      <c r="E34" s="9"/>
      <c r="F34" s="9" t="s">
        <v>276</v>
      </c>
    </row>
    <row r="35" customFormat="false" ht="15" hidden="false" customHeight="false" outlineLevel="0" collapsed="false">
      <c r="A35" s="9" t="s">
        <v>280</v>
      </c>
      <c r="B35" s="9" t="s">
        <v>281</v>
      </c>
      <c r="C35" s="9" t="s">
        <v>46</v>
      </c>
      <c r="D35" s="9" t="s">
        <v>282</v>
      </c>
      <c r="E35" s="9" t="s">
        <v>283</v>
      </c>
      <c r="F35" s="9" t="s">
        <v>258</v>
      </c>
    </row>
    <row r="36" customFormat="false" ht="15" hidden="false" customHeight="false" outlineLevel="0" collapsed="false">
      <c r="A36" s="9" t="s">
        <v>284</v>
      </c>
      <c r="B36" s="9" t="s">
        <v>285</v>
      </c>
      <c r="C36" s="9" t="s">
        <v>114</v>
      </c>
      <c r="D36" s="9" t="s">
        <v>286</v>
      </c>
      <c r="E36" s="9" t="s">
        <v>287</v>
      </c>
      <c r="F36" s="9" t="s">
        <v>288</v>
      </c>
    </row>
    <row r="37" customFormat="false" ht="15" hidden="false" customHeight="false" outlineLevel="0" collapsed="false">
      <c r="A37" s="9" t="s">
        <v>289</v>
      </c>
      <c r="B37" s="9" t="s">
        <v>290</v>
      </c>
      <c r="C37" s="9" t="s">
        <v>291</v>
      </c>
      <c r="D37" s="9" t="s">
        <v>242</v>
      </c>
      <c r="E37" s="9"/>
      <c r="F37" s="9" t="s">
        <v>292</v>
      </c>
    </row>
    <row r="38" customFormat="false" ht="15" hidden="false" customHeight="false" outlineLevel="0" collapsed="false">
      <c r="A38" s="9" t="s">
        <v>293</v>
      </c>
      <c r="B38" s="9" t="s">
        <v>294</v>
      </c>
      <c r="C38" s="9" t="s">
        <v>295</v>
      </c>
      <c r="D38" s="9" t="s">
        <v>147</v>
      </c>
      <c r="E38" s="9"/>
      <c r="F38" s="9" t="s">
        <v>296</v>
      </c>
    </row>
    <row r="39" customFormat="false" ht="23.85" hidden="false" customHeight="false" outlineLevel="0" collapsed="false">
      <c r="A39" s="9" t="s">
        <v>297</v>
      </c>
      <c r="B39" s="9" t="s">
        <v>298</v>
      </c>
      <c r="C39" s="9" t="s">
        <v>299</v>
      </c>
      <c r="D39" s="9" t="s">
        <v>300</v>
      </c>
      <c r="E39" s="9" t="s">
        <v>301</v>
      </c>
      <c r="F39" s="9" t="s">
        <v>302</v>
      </c>
    </row>
    <row r="40" customFormat="false" ht="15" hidden="false" customHeight="false" outlineLevel="0" collapsed="false">
      <c r="A40" s="9" t="s">
        <v>303</v>
      </c>
      <c r="B40" s="9" t="s">
        <v>304</v>
      </c>
      <c r="C40" s="9" t="s">
        <v>305</v>
      </c>
      <c r="D40" s="9" t="s">
        <v>271</v>
      </c>
      <c r="E40" s="9" t="s">
        <v>306</v>
      </c>
      <c r="F40" s="9" t="s">
        <v>122</v>
      </c>
    </row>
    <row r="41" customFormat="false" ht="15" hidden="false" customHeight="false" outlineLevel="0" collapsed="false">
      <c r="A41" s="9" t="s">
        <v>307</v>
      </c>
      <c r="B41" s="9" t="s">
        <v>308</v>
      </c>
      <c r="C41" s="9" t="s">
        <v>309</v>
      </c>
      <c r="D41" s="9" t="s">
        <v>310</v>
      </c>
      <c r="E41" s="9" t="s">
        <v>311</v>
      </c>
      <c r="F41" s="9" t="s">
        <v>110</v>
      </c>
    </row>
    <row r="42" customFormat="false" ht="23.85" hidden="false" customHeight="false" outlineLevel="0" collapsed="false">
      <c r="A42" s="9" t="s">
        <v>312</v>
      </c>
      <c r="B42" s="9" t="s">
        <v>313</v>
      </c>
      <c r="C42" s="9" t="s">
        <v>314</v>
      </c>
      <c r="D42" s="9" t="s">
        <v>147</v>
      </c>
      <c r="E42" s="9" t="s">
        <v>315</v>
      </c>
      <c r="F42" s="9" t="s">
        <v>316</v>
      </c>
    </row>
  </sheetData>
  <autoFilter ref="A1:F42"/>
  <conditionalFormatting sqref="D2:D100">
    <cfRule type="cellIs" priority="2" operator="equal" aboveAverage="0" equalAverage="0" bottom="0" percent="0" rank="0" text="" dxfId="4">
      <formula>"Identical"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7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8" t="s">
        <v>128</v>
      </c>
      <c r="B1" s="8" t="s">
        <v>317</v>
      </c>
      <c r="C1" s="8" t="s">
        <v>318</v>
      </c>
      <c r="D1" s="8" t="s">
        <v>319</v>
      </c>
      <c r="E1" s="8" t="s">
        <v>29</v>
      </c>
    </row>
    <row r="2" customFormat="false" ht="35.05" hidden="false" customHeight="false" outlineLevel="0" collapsed="false">
      <c r="A2" s="9" t="s">
        <v>132</v>
      </c>
      <c r="B2" s="9" t="s">
        <v>320</v>
      </c>
      <c r="C2" s="9" t="s">
        <v>321</v>
      </c>
      <c r="D2" s="9" t="s">
        <v>322</v>
      </c>
      <c r="E2" s="9" t="s">
        <v>323</v>
      </c>
    </row>
    <row r="3" customFormat="false" ht="23.85" hidden="false" customHeight="false" outlineLevel="0" collapsed="false">
      <c r="A3" s="9" t="s">
        <v>138</v>
      </c>
      <c r="B3" s="9" t="s">
        <v>324</v>
      </c>
      <c r="C3" s="9" t="s">
        <v>325</v>
      </c>
      <c r="D3" s="9" t="s">
        <v>326</v>
      </c>
      <c r="E3" s="9" t="s">
        <v>327</v>
      </c>
    </row>
    <row r="4" customFormat="false" ht="23.85" hidden="false" customHeight="false" outlineLevel="0" collapsed="false">
      <c r="A4" s="9" t="s">
        <v>144</v>
      </c>
      <c r="B4" s="9" t="s">
        <v>328</v>
      </c>
      <c r="C4" s="9" t="s">
        <v>329</v>
      </c>
      <c r="D4" s="9" t="s">
        <v>330</v>
      </c>
      <c r="E4" s="9" t="s">
        <v>331</v>
      </c>
    </row>
    <row r="5" customFormat="false" ht="23.85" hidden="false" customHeight="false" outlineLevel="0" collapsed="false">
      <c r="A5" s="9" t="s">
        <v>150</v>
      </c>
      <c r="B5" s="9" t="s">
        <v>332</v>
      </c>
      <c r="C5" s="9" t="s">
        <v>333</v>
      </c>
      <c r="D5" s="9" t="s">
        <v>334</v>
      </c>
      <c r="E5" s="9" t="s">
        <v>335</v>
      </c>
    </row>
    <row r="6" customFormat="false" ht="23.85" hidden="false" customHeight="false" outlineLevel="0" collapsed="false">
      <c r="A6" s="9" t="s">
        <v>154</v>
      </c>
      <c r="B6" s="9" t="s">
        <v>336</v>
      </c>
      <c r="C6" s="9" t="s">
        <v>337</v>
      </c>
      <c r="D6" s="9" t="s">
        <v>338</v>
      </c>
      <c r="E6" s="9" t="s">
        <v>339</v>
      </c>
    </row>
    <row r="7" customFormat="false" ht="35.05" hidden="false" customHeight="false" outlineLevel="0" collapsed="false">
      <c r="A7" s="9" t="s">
        <v>159</v>
      </c>
      <c r="B7" s="9" t="s">
        <v>340</v>
      </c>
      <c r="C7" s="9" t="s">
        <v>341</v>
      </c>
      <c r="D7" s="9" t="s">
        <v>342</v>
      </c>
      <c r="E7" s="9" t="s">
        <v>77</v>
      </c>
    </row>
    <row r="8" customFormat="false" ht="15" hidden="false" customHeight="false" outlineLevel="0" collapsed="false">
      <c r="A8" s="9" t="s">
        <v>164</v>
      </c>
      <c r="B8" s="9" t="s">
        <v>343</v>
      </c>
      <c r="C8" s="9" t="s">
        <v>344</v>
      </c>
      <c r="D8" s="9" t="s">
        <v>345</v>
      </c>
      <c r="E8" s="9" t="s">
        <v>346</v>
      </c>
    </row>
    <row r="9" customFormat="false" ht="23.85" hidden="false" customHeight="false" outlineLevel="0" collapsed="false">
      <c r="A9" s="9" t="s">
        <v>168</v>
      </c>
      <c r="B9" s="9" t="s">
        <v>347</v>
      </c>
      <c r="C9" s="9" t="s">
        <v>348</v>
      </c>
      <c r="D9" s="9" t="s">
        <v>349</v>
      </c>
      <c r="E9" s="9" t="s">
        <v>209</v>
      </c>
    </row>
    <row r="10" customFormat="false" ht="23.85" hidden="false" customHeight="false" outlineLevel="0" collapsed="false">
      <c r="A10" s="9" t="s">
        <v>173</v>
      </c>
      <c r="B10" s="9" t="s">
        <v>350</v>
      </c>
      <c r="C10" s="9" t="s">
        <v>351</v>
      </c>
      <c r="D10" s="9" t="s">
        <v>352</v>
      </c>
      <c r="E10" s="9" t="s">
        <v>255</v>
      </c>
    </row>
    <row r="11" customFormat="false" ht="15" hidden="false" customHeight="false" outlineLevel="0" collapsed="false">
      <c r="A11" s="9" t="s">
        <v>178</v>
      </c>
      <c r="B11" s="9" t="s">
        <v>353</v>
      </c>
      <c r="C11" s="9" t="s">
        <v>354</v>
      </c>
      <c r="D11" s="9" t="s">
        <v>355</v>
      </c>
      <c r="E11" s="9" t="s">
        <v>356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0" t="s">
        <v>357</v>
      </c>
      <c r="B1" s="11"/>
    </row>
    <row r="2" customFormat="false" ht="23.85" hidden="false" customHeight="false" outlineLevel="0" collapsed="false">
      <c r="A2" s="12" t="s">
        <v>358</v>
      </c>
      <c r="B2" s="13" t="s">
        <v>359</v>
      </c>
    </row>
    <row r="3" customFormat="false" ht="15" hidden="false" customHeight="false" outlineLevel="0" collapsed="false">
      <c r="A3" s="12" t="s">
        <v>360</v>
      </c>
      <c r="B3" s="13" t="s">
        <v>361</v>
      </c>
    </row>
    <row r="4" customFormat="false" ht="15" hidden="false" customHeight="false" outlineLevel="0" collapsed="false">
      <c r="A4" s="12"/>
      <c r="B4" s="13"/>
    </row>
    <row r="5" customFormat="false" ht="23.85" hidden="false" customHeight="false" outlineLevel="0" collapsed="false">
      <c r="A5" s="10" t="s">
        <v>362</v>
      </c>
      <c r="B5" s="11"/>
    </row>
    <row r="6" customFormat="false" ht="15" hidden="false" customHeight="false" outlineLevel="0" collapsed="false">
      <c r="A6" s="12" t="s">
        <v>363</v>
      </c>
      <c r="B6" s="13" t="s">
        <v>364</v>
      </c>
    </row>
    <row r="7" customFormat="false" ht="15" hidden="false" customHeight="false" outlineLevel="0" collapsed="false">
      <c r="A7" s="12" t="s">
        <v>365</v>
      </c>
      <c r="B7" s="13" t="s">
        <v>366</v>
      </c>
    </row>
    <row r="8" customFormat="false" ht="15" hidden="false" customHeight="false" outlineLevel="0" collapsed="false">
      <c r="A8" s="12" t="s">
        <v>367</v>
      </c>
      <c r="B8" s="13" t="s">
        <v>368</v>
      </c>
    </row>
    <row r="9" customFormat="false" ht="15" hidden="false" customHeight="false" outlineLevel="0" collapsed="false">
      <c r="A9" s="12" t="s">
        <v>369</v>
      </c>
      <c r="B9" s="13" t="s">
        <v>370</v>
      </c>
    </row>
    <row r="10" customFormat="false" ht="15" hidden="false" customHeight="false" outlineLevel="0" collapsed="false">
      <c r="A10" s="12" t="s">
        <v>371</v>
      </c>
      <c r="B10" s="13" t="s">
        <v>372</v>
      </c>
    </row>
    <row r="11" customFormat="false" ht="15" hidden="false" customHeight="false" outlineLevel="0" collapsed="false">
      <c r="A11" s="12" t="s">
        <v>373</v>
      </c>
      <c r="B11" s="13" t="s">
        <v>374</v>
      </c>
    </row>
    <row r="12" customFormat="false" ht="15" hidden="false" customHeight="false" outlineLevel="0" collapsed="false">
      <c r="A12" s="12" t="s">
        <v>375</v>
      </c>
      <c r="B12" s="13" t="s">
        <v>376</v>
      </c>
    </row>
    <row r="13" customFormat="false" ht="15" hidden="false" customHeight="false" outlineLevel="0" collapsed="false">
      <c r="A13" s="12" t="s">
        <v>377</v>
      </c>
      <c r="B13" s="13" t="s">
        <v>378</v>
      </c>
    </row>
    <row r="14" customFormat="false" ht="15" hidden="false" customHeight="false" outlineLevel="0" collapsed="false">
      <c r="A14" s="12" t="s">
        <v>379</v>
      </c>
      <c r="B14" s="13" t="s">
        <v>380</v>
      </c>
    </row>
    <row r="15" customFormat="false" ht="15" hidden="false" customHeight="false" outlineLevel="0" collapsed="false">
      <c r="A15" s="12" t="s">
        <v>381</v>
      </c>
      <c r="B15" s="13" t="s">
        <v>382</v>
      </c>
    </row>
    <row r="16" customFormat="false" ht="15" hidden="false" customHeight="false" outlineLevel="0" collapsed="false">
      <c r="A16" s="12" t="s">
        <v>383</v>
      </c>
      <c r="B16" s="13" t="s">
        <v>384</v>
      </c>
    </row>
    <row r="17" customFormat="false" ht="15" hidden="false" customHeight="false" outlineLevel="0" collapsed="false">
      <c r="A17" s="12" t="s">
        <v>385</v>
      </c>
      <c r="B17" s="13" t="s">
        <v>386</v>
      </c>
    </row>
    <row r="18" customFormat="false" ht="15" hidden="false" customHeight="false" outlineLevel="0" collapsed="false">
      <c r="A18" s="12" t="s">
        <v>387</v>
      </c>
      <c r="B18" s="13" t="s">
        <v>388</v>
      </c>
    </row>
    <row r="19" customFormat="false" ht="15" hidden="false" customHeight="false" outlineLevel="0" collapsed="false">
      <c r="A19" s="12" t="s">
        <v>389</v>
      </c>
      <c r="B19" s="13" t="s">
        <v>390</v>
      </c>
    </row>
    <row r="20" customFormat="false" ht="15" hidden="false" customHeight="false" outlineLevel="0" collapsed="false">
      <c r="A20" s="12" t="s">
        <v>391</v>
      </c>
      <c r="B20" s="13" t="s">
        <v>392</v>
      </c>
    </row>
    <row r="21" customFormat="false" ht="15" hidden="false" customHeight="false" outlineLevel="0" collapsed="false">
      <c r="A21" s="12" t="s">
        <v>393</v>
      </c>
      <c r="B21" s="13" t="s">
        <v>394</v>
      </c>
    </row>
    <row r="22" customFormat="false" ht="15" hidden="false" customHeight="false" outlineLevel="0" collapsed="false">
      <c r="A22" s="12" t="s">
        <v>395</v>
      </c>
      <c r="B22" s="13" t="s">
        <v>396</v>
      </c>
    </row>
    <row r="23" customFormat="false" ht="15" hidden="false" customHeight="false" outlineLevel="0" collapsed="false">
      <c r="A23" s="12" t="s">
        <v>397</v>
      </c>
      <c r="B23" s="13" t="s">
        <v>370</v>
      </c>
    </row>
    <row r="24" customFormat="false" ht="15" hidden="false" customHeight="false" outlineLevel="0" collapsed="false">
      <c r="A24" s="12" t="s">
        <v>398</v>
      </c>
      <c r="B24" s="13" t="s">
        <v>374</v>
      </c>
    </row>
    <row r="25" customFormat="false" ht="15" hidden="false" customHeight="false" outlineLevel="0" collapsed="false">
      <c r="A25" s="12" t="s">
        <v>399</v>
      </c>
      <c r="B25" s="13" t="s">
        <v>400</v>
      </c>
    </row>
    <row r="26" customFormat="false" ht="15" hidden="false" customHeight="false" outlineLevel="0" collapsed="false">
      <c r="A26" s="12" t="s">
        <v>401</v>
      </c>
      <c r="B26" s="13" t="s">
        <v>402</v>
      </c>
    </row>
    <row r="27" customFormat="false" ht="15" hidden="false" customHeight="false" outlineLevel="0" collapsed="false">
      <c r="A27" s="12" t="s">
        <v>403</v>
      </c>
      <c r="B27" s="13" t="s">
        <v>404</v>
      </c>
    </row>
    <row r="28" customFormat="false" ht="15" hidden="false" customHeight="false" outlineLevel="0" collapsed="false">
      <c r="A28" s="12" t="s">
        <v>405</v>
      </c>
      <c r="B28" s="13" t="s">
        <v>406</v>
      </c>
    </row>
    <row r="29" customFormat="false" ht="15" hidden="false" customHeight="false" outlineLevel="0" collapsed="false">
      <c r="A29" s="12" t="s">
        <v>407</v>
      </c>
      <c r="B29" s="13" t="s">
        <v>408</v>
      </c>
    </row>
    <row r="30" customFormat="false" ht="15" hidden="false" customHeight="false" outlineLevel="0" collapsed="false">
      <c r="A30" s="12" t="s">
        <v>409</v>
      </c>
      <c r="B30" s="13" t="s">
        <v>410</v>
      </c>
    </row>
    <row r="31" customFormat="false" ht="15" hidden="false" customHeight="false" outlineLevel="0" collapsed="false">
      <c r="A31" s="12" t="s">
        <v>411</v>
      </c>
      <c r="B31" s="13" t="s">
        <v>412</v>
      </c>
    </row>
    <row r="32" customFormat="false" ht="15" hidden="false" customHeight="false" outlineLevel="0" collapsed="false">
      <c r="A32" s="12" t="s">
        <v>413</v>
      </c>
      <c r="B32" s="13" t="s">
        <v>414</v>
      </c>
    </row>
    <row r="33" customFormat="false" ht="15" hidden="false" customHeight="false" outlineLevel="0" collapsed="false">
      <c r="A33" s="12" t="s">
        <v>415</v>
      </c>
      <c r="B33" s="13" t="s">
        <v>416</v>
      </c>
    </row>
    <row r="34" customFormat="false" ht="15" hidden="false" customHeight="false" outlineLevel="0" collapsed="false">
      <c r="A34" s="12" t="s">
        <v>417</v>
      </c>
      <c r="B34" s="13" t="s">
        <v>418</v>
      </c>
    </row>
    <row r="35" customFormat="false" ht="15" hidden="false" customHeight="false" outlineLevel="0" collapsed="false">
      <c r="A35" s="12" t="s">
        <v>419</v>
      </c>
      <c r="B35" s="13" t="s">
        <v>420</v>
      </c>
    </row>
    <row r="36" customFormat="false" ht="15" hidden="false" customHeight="false" outlineLevel="0" collapsed="false">
      <c r="A36" s="12" t="s">
        <v>421</v>
      </c>
      <c r="B36" s="13" t="s">
        <v>422</v>
      </c>
    </row>
    <row r="37" customFormat="false" ht="15" hidden="false" customHeight="false" outlineLevel="0" collapsed="false">
      <c r="A37" s="12" t="s">
        <v>423</v>
      </c>
      <c r="B37" s="13" t="s">
        <v>424</v>
      </c>
    </row>
    <row r="38" customFormat="false" ht="15" hidden="false" customHeight="false" outlineLevel="0" collapsed="false">
      <c r="A38" s="12" t="s">
        <v>425</v>
      </c>
      <c r="B38" s="13" t="s">
        <v>426</v>
      </c>
    </row>
    <row r="39" customFormat="false" ht="15" hidden="false" customHeight="false" outlineLevel="0" collapsed="false">
      <c r="A39" s="12" t="s">
        <v>427</v>
      </c>
      <c r="B39" s="13" t="s">
        <v>428</v>
      </c>
    </row>
    <row r="40" customFormat="false" ht="15" hidden="false" customHeight="false" outlineLevel="0" collapsed="false">
      <c r="A40" s="12" t="s">
        <v>429</v>
      </c>
      <c r="B40" s="13" t="s">
        <v>430</v>
      </c>
    </row>
    <row r="41" customFormat="false" ht="15" hidden="false" customHeight="false" outlineLevel="0" collapsed="false">
      <c r="A41" s="12" t="s">
        <v>431</v>
      </c>
      <c r="B41" s="13" t="s">
        <v>432</v>
      </c>
    </row>
    <row r="42" customFormat="false" ht="15" hidden="false" customHeight="false" outlineLevel="0" collapsed="false">
      <c r="A42" s="12" t="s">
        <v>433</v>
      </c>
      <c r="B42" s="13" t="s">
        <v>434</v>
      </c>
    </row>
    <row r="43" customFormat="false" ht="15" hidden="false" customHeight="false" outlineLevel="0" collapsed="false">
      <c r="A43" s="12" t="s">
        <v>435</v>
      </c>
      <c r="B43" s="13" t="s">
        <v>436</v>
      </c>
    </row>
    <row r="44" customFormat="false" ht="15" hidden="false" customHeight="false" outlineLevel="0" collapsed="false">
      <c r="A44" s="12" t="s">
        <v>437</v>
      </c>
      <c r="B44" s="13" t="s">
        <v>438</v>
      </c>
    </row>
    <row r="45" customFormat="false" ht="15" hidden="false" customHeight="false" outlineLevel="0" collapsed="false">
      <c r="A45" s="12" t="s">
        <v>439</v>
      </c>
      <c r="B45" s="13" t="s">
        <v>372</v>
      </c>
    </row>
    <row r="46" customFormat="false" ht="15" hidden="false" customHeight="false" outlineLevel="0" collapsed="false">
      <c r="A46" s="12" t="s">
        <v>440</v>
      </c>
      <c r="B46" s="13" t="s">
        <v>438</v>
      </c>
    </row>
    <row r="47" customFormat="false" ht="15" hidden="false" customHeight="false" outlineLevel="0" collapsed="false">
      <c r="A47" s="12" t="s">
        <v>441</v>
      </c>
      <c r="B47" s="13" t="s">
        <v>442</v>
      </c>
    </row>
    <row r="48" customFormat="false" ht="15" hidden="false" customHeight="false" outlineLevel="0" collapsed="false">
      <c r="A48" s="12" t="s">
        <v>443</v>
      </c>
      <c r="B48" s="13" t="s">
        <v>444</v>
      </c>
    </row>
    <row r="49" customFormat="false" ht="15" hidden="false" customHeight="false" outlineLevel="0" collapsed="false">
      <c r="A49" s="12" t="s">
        <v>445</v>
      </c>
      <c r="B49" s="13" t="s">
        <v>446</v>
      </c>
    </row>
    <row r="50" customFormat="false" ht="15" hidden="false" customHeight="false" outlineLevel="0" collapsed="false">
      <c r="A50" s="12" t="s">
        <v>447</v>
      </c>
      <c r="B50" s="13" t="s">
        <v>448</v>
      </c>
    </row>
    <row r="51" customFormat="false" ht="15" hidden="false" customHeight="false" outlineLevel="0" collapsed="false">
      <c r="A51" s="12"/>
      <c r="B51" s="13"/>
    </row>
    <row r="52" customFormat="false" ht="35.05" hidden="false" customHeight="false" outlineLevel="0" collapsed="false">
      <c r="A52" s="10" t="s">
        <v>449</v>
      </c>
      <c r="B52" s="11"/>
    </row>
    <row r="53" customFormat="false" ht="23.85" hidden="false" customHeight="false" outlineLevel="0" collapsed="false">
      <c r="A53" s="12" t="s">
        <v>450</v>
      </c>
      <c r="B53" s="13" t="s">
        <v>451</v>
      </c>
    </row>
    <row r="54" customFormat="false" ht="15" hidden="false" customHeight="false" outlineLevel="0" collapsed="false">
      <c r="A54" s="12" t="s">
        <v>452</v>
      </c>
      <c r="B54" s="13" t="s">
        <v>453</v>
      </c>
    </row>
    <row r="55" customFormat="false" ht="23.85" hidden="false" customHeight="false" outlineLevel="0" collapsed="false">
      <c r="A55" s="12" t="s">
        <v>454</v>
      </c>
      <c r="B55" s="13" t="s">
        <v>455</v>
      </c>
    </row>
    <row r="56" customFormat="false" ht="23.85" hidden="false" customHeight="false" outlineLevel="0" collapsed="false">
      <c r="A56" s="12" t="s">
        <v>456</v>
      </c>
      <c r="B56" s="13" t="s">
        <v>457</v>
      </c>
    </row>
    <row r="57" customFormat="false" ht="23.85" hidden="false" customHeight="false" outlineLevel="0" collapsed="false">
      <c r="A57" s="12" t="s">
        <v>458</v>
      </c>
      <c r="B57" s="13" t="s">
        <v>459</v>
      </c>
    </row>
    <row r="58" customFormat="false" ht="15" hidden="false" customHeight="false" outlineLevel="0" collapsed="false">
      <c r="A58" s="12" t="s">
        <v>460</v>
      </c>
      <c r="B58" s="13" t="s">
        <v>461</v>
      </c>
    </row>
    <row r="59" customFormat="false" ht="15" hidden="false" customHeight="false" outlineLevel="0" collapsed="false">
      <c r="A59" s="12" t="s">
        <v>462</v>
      </c>
      <c r="B59" s="13" t="s">
        <v>463</v>
      </c>
    </row>
    <row r="60" customFormat="false" ht="15" hidden="false" customHeight="false" outlineLevel="0" collapsed="false">
      <c r="A60" s="12"/>
      <c r="B60" s="13"/>
    </row>
    <row r="61" customFormat="false" ht="15" hidden="false" customHeight="false" outlineLevel="0" collapsed="false">
      <c r="A61" s="10" t="s">
        <v>464</v>
      </c>
      <c r="B61" s="11"/>
    </row>
    <row r="62" customFormat="false" ht="35.05" hidden="false" customHeight="false" outlineLevel="0" collapsed="false">
      <c r="A62" s="12" t="s">
        <v>465</v>
      </c>
      <c r="B62" s="13" t="s">
        <v>466</v>
      </c>
    </row>
    <row r="63" customFormat="false" ht="15" hidden="false" customHeight="false" outlineLevel="0" collapsed="false">
      <c r="A63" s="12" t="s">
        <v>467</v>
      </c>
      <c r="B63" s="13" t="s">
        <v>468</v>
      </c>
    </row>
    <row r="64" customFormat="false" ht="23.85" hidden="false" customHeight="false" outlineLevel="0" collapsed="false">
      <c r="A64" s="12" t="s">
        <v>469</v>
      </c>
      <c r="B64" s="13" t="s">
        <v>470</v>
      </c>
    </row>
    <row r="65" customFormat="false" ht="35.05" hidden="false" customHeight="false" outlineLevel="0" collapsed="false">
      <c r="A65" s="12" t="s">
        <v>471</v>
      </c>
      <c r="B65" s="13" t="s">
        <v>472</v>
      </c>
    </row>
    <row r="66" customFormat="false" ht="15" hidden="false" customHeight="false" outlineLevel="0" collapsed="false">
      <c r="A66" s="12" t="s">
        <v>473</v>
      </c>
      <c r="B66" s="13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62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8" t="s">
        <v>475</v>
      </c>
      <c r="B1" s="8" t="s">
        <v>476</v>
      </c>
      <c r="C1" s="8" t="s">
        <v>477</v>
      </c>
      <c r="D1" s="8" t="s">
        <v>478</v>
      </c>
      <c r="E1" s="8" t="s">
        <v>479</v>
      </c>
      <c r="F1" s="8" t="s">
        <v>480</v>
      </c>
      <c r="G1" s="8" t="s">
        <v>481</v>
      </c>
      <c r="H1" s="8" t="s">
        <v>482</v>
      </c>
      <c r="I1" s="8" t="s">
        <v>483</v>
      </c>
    </row>
    <row r="2" customFormat="false" ht="46.25" hidden="false" customHeight="false" outlineLevel="0" collapsed="false">
      <c r="A2" s="9" t="s">
        <v>193</v>
      </c>
      <c r="B2" s="9" t="s">
        <v>484</v>
      </c>
      <c r="C2" s="9" t="s">
        <v>485</v>
      </c>
      <c r="D2" s="9" t="s">
        <v>486</v>
      </c>
      <c r="E2" s="9" t="s">
        <v>487</v>
      </c>
      <c r="F2" s="9" t="s">
        <v>488</v>
      </c>
      <c r="G2" s="9" t="s">
        <v>489</v>
      </c>
      <c r="H2" s="9" t="s">
        <v>21</v>
      </c>
      <c r="I2" s="9"/>
    </row>
    <row r="3" customFormat="false" ht="23.85" hidden="false" customHeight="false" outlineLevel="0" collapsed="false">
      <c r="A3" s="9" t="s">
        <v>490</v>
      </c>
      <c r="B3" s="9" t="s">
        <v>55</v>
      </c>
      <c r="C3" s="9" t="s">
        <v>491</v>
      </c>
      <c r="D3" s="9" t="s">
        <v>492</v>
      </c>
      <c r="E3" s="9" t="s">
        <v>493</v>
      </c>
      <c r="F3" s="9" t="s">
        <v>494</v>
      </c>
      <c r="G3" s="9" t="s">
        <v>495</v>
      </c>
      <c r="H3" s="9" t="s">
        <v>21</v>
      </c>
      <c r="I3" s="9"/>
    </row>
    <row r="4" customFormat="false" ht="23.85" hidden="false" customHeight="false" outlineLevel="0" collapsed="false">
      <c r="A4" s="9" t="s">
        <v>316</v>
      </c>
      <c r="B4" s="9" t="s">
        <v>484</v>
      </c>
      <c r="C4" s="9" t="s">
        <v>496</v>
      </c>
      <c r="D4" s="9" t="s">
        <v>497</v>
      </c>
      <c r="E4" s="9" t="s">
        <v>498</v>
      </c>
      <c r="F4" s="9" t="s">
        <v>499</v>
      </c>
      <c r="G4" s="9" t="s">
        <v>500</v>
      </c>
      <c r="H4" s="9" t="s">
        <v>21</v>
      </c>
      <c r="I4" s="9"/>
    </row>
    <row r="5" customFormat="false" ht="57.45" hidden="false" customHeight="false" outlineLevel="0" collapsed="false">
      <c r="A5" s="9" t="s">
        <v>190</v>
      </c>
      <c r="B5" s="9" t="s">
        <v>55</v>
      </c>
      <c r="C5" s="9" t="s">
        <v>501</v>
      </c>
      <c r="D5" s="9" t="s">
        <v>502</v>
      </c>
      <c r="E5" s="9" t="s">
        <v>503</v>
      </c>
      <c r="F5" s="9" t="s">
        <v>504</v>
      </c>
      <c r="G5" s="9" t="s">
        <v>505</v>
      </c>
      <c r="H5" s="9" t="s">
        <v>21</v>
      </c>
      <c r="I5" s="9"/>
    </row>
    <row r="6" customFormat="false" ht="23.85" hidden="false" customHeight="false" outlineLevel="0" collapsed="false">
      <c r="A6" s="9" t="s">
        <v>186</v>
      </c>
      <c r="B6" s="9" t="s">
        <v>506</v>
      </c>
      <c r="C6" s="9" t="s">
        <v>507</v>
      </c>
      <c r="D6" s="9" t="s">
        <v>508</v>
      </c>
      <c r="E6" s="9" t="s">
        <v>509</v>
      </c>
      <c r="F6" s="9" t="s">
        <v>510</v>
      </c>
      <c r="G6" s="9" t="s">
        <v>511</v>
      </c>
      <c r="H6" s="9" t="s">
        <v>21</v>
      </c>
      <c r="I6" s="9"/>
    </row>
    <row r="7" customFormat="false" ht="35.05" hidden="false" customHeight="false" outlineLevel="0" collapsed="false">
      <c r="A7" s="9" t="s">
        <v>512</v>
      </c>
      <c r="B7" s="9" t="s">
        <v>513</v>
      </c>
      <c r="C7" s="9" t="s">
        <v>514</v>
      </c>
      <c r="D7" s="9" t="s">
        <v>515</v>
      </c>
      <c r="E7" s="9" t="s">
        <v>516</v>
      </c>
      <c r="F7" s="9" t="s">
        <v>510</v>
      </c>
      <c r="G7" s="9" t="s">
        <v>517</v>
      </c>
      <c r="H7" s="9" t="s">
        <v>21</v>
      </c>
      <c r="I7" s="9"/>
    </row>
    <row r="8" customFormat="false" ht="46.25" hidden="false" customHeight="false" outlineLevel="0" collapsed="false">
      <c r="A8" s="9" t="s">
        <v>518</v>
      </c>
      <c r="B8" s="9" t="s">
        <v>89</v>
      </c>
      <c r="C8" s="9" t="s">
        <v>519</v>
      </c>
      <c r="D8" s="9" t="s">
        <v>520</v>
      </c>
      <c r="E8" s="9" t="s">
        <v>521</v>
      </c>
      <c r="F8" s="9" t="s">
        <v>510</v>
      </c>
      <c r="G8" s="9" t="s">
        <v>522</v>
      </c>
      <c r="H8" s="9" t="s">
        <v>21</v>
      </c>
      <c r="I8" s="9"/>
    </row>
    <row r="9" customFormat="false" ht="15" hidden="false" customHeight="false" outlineLevel="0" collapsed="false">
      <c r="A9" s="9" t="s">
        <v>523</v>
      </c>
      <c r="B9" s="9" t="s">
        <v>524</v>
      </c>
      <c r="C9" s="9" t="s">
        <v>525</v>
      </c>
      <c r="D9" s="9" t="s">
        <v>526</v>
      </c>
      <c r="E9" s="9" t="s">
        <v>527</v>
      </c>
      <c r="F9" s="9" t="s">
        <v>510</v>
      </c>
      <c r="G9" s="9" t="s">
        <v>528</v>
      </c>
      <c r="H9" s="9" t="s">
        <v>21</v>
      </c>
      <c r="I9" s="9"/>
    </row>
    <row r="10" customFormat="false" ht="23.85" hidden="false" customHeight="false" outlineLevel="0" collapsed="false">
      <c r="A10" s="9" t="s">
        <v>217</v>
      </c>
      <c r="B10" s="9" t="s">
        <v>524</v>
      </c>
      <c r="C10" s="9" t="s">
        <v>529</v>
      </c>
      <c r="D10" s="9" t="s">
        <v>530</v>
      </c>
      <c r="E10" s="9" t="s">
        <v>527</v>
      </c>
      <c r="F10" s="9" t="s">
        <v>510</v>
      </c>
      <c r="G10" s="9" t="s">
        <v>531</v>
      </c>
      <c r="H10" s="9" t="s">
        <v>21</v>
      </c>
      <c r="I10" s="9"/>
    </row>
    <row r="11" customFormat="false" ht="35.05" hidden="false" customHeight="false" outlineLevel="0" collapsed="false">
      <c r="A11" s="9" t="s">
        <v>232</v>
      </c>
      <c r="B11" s="9" t="s">
        <v>524</v>
      </c>
      <c r="C11" s="9" t="s">
        <v>532</v>
      </c>
      <c r="D11" s="9" t="s">
        <v>533</v>
      </c>
      <c r="E11" s="9" t="s">
        <v>527</v>
      </c>
      <c r="F11" s="9" t="s">
        <v>510</v>
      </c>
      <c r="G11" s="9" t="s">
        <v>534</v>
      </c>
      <c r="H11" s="9" t="s">
        <v>21</v>
      </c>
      <c r="I11" s="9"/>
    </row>
    <row r="12" customFormat="false" ht="35.05" hidden="false" customHeight="false" outlineLevel="0" collapsed="false">
      <c r="A12" s="9" t="s">
        <v>535</v>
      </c>
      <c r="B12" s="9" t="s">
        <v>71</v>
      </c>
      <c r="C12" s="9" t="s">
        <v>536</v>
      </c>
      <c r="D12" s="9" t="s">
        <v>537</v>
      </c>
      <c r="E12" s="9" t="s">
        <v>527</v>
      </c>
      <c r="F12" s="9" t="s">
        <v>510</v>
      </c>
      <c r="G12" s="9" t="s">
        <v>538</v>
      </c>
      <c r="H12" s="9" t="s">
        <v>21</v>
      </c>
      <c r="I12" s="9"/>
    </row>
    <row r="13" customFormat="false" ht="35.05" hidden="false" customHeight="false" outlineLevel="0" collapsed="false">
      <c r="A13" s="9" t="s">
        <v>539</v>
      </c>
      <c r="B13" s="9" t="s">
        <v>71</v>
      </c>
      <c r="C13" s="9" t="s">
        <v>540</v>
      </c>
      <c r="D13" s="9" t="s">
        <v>541</v>
      </c>
      <c r="E13" s="9" t="s">
        <v>527</v>
      </c>
      <c r="F13" s="9" t="s">
        <v>542</v>
      </c>
      <c r="G13" s="9" t="s">
        <v>543</v>
      </c>
      <c r="H13" s="9" t="s">
        <v>21</v>
      </c>
      <c r="I13" s="9"/>
    </row>
    <row r="14" customFormat="false" ht="46.25" hidden="false" customHeight="false" outlineLevel="0" collapsed="false">
      <c r="A14" s="9" t="s">
        <v>544</v>
      </c>
      <c r="B14" s="9" t="s">
        <v>71</v>
      </c>
      <c r="C14" s="9" t="s">
        <v>545</v>
      </c>
      <c r="D14" s="9" t="s">
        <v>546</v>
      </c>
      <c r="E14" s="9" t="s">
        <v>527</v>
      </c>
      <c r="F14" s="9" t="s">
        <v>510</v>
      </c>
      <c r="G14" s="9" t="s">
        <v>547</v>
      </c>
      <c r="H14" s="9" t="s">
        <v>21</v>
      </c>
      <c r="I14" s="9"/>
    </row>
    <row r="15" customFormat="false" ht="23.85" hidden="false" customHeight="false" outlineLevel="0" collapsed="false">
      <c r="A15" s="9" t="s">
        <v>548</v>
      </c>
      <c r="B15" s="9" t="s">
        <v>71</v>
      </c>
      <c r="C15" s="9" t="s">
        <v>549</v>
      </c>
      <c r="D15" s="9" t="s">
        <v>550</v>
      </c>
      <c r="E15" s="9" t="s">
        <v>551</v>
      </c>
      <c r="F15" s="9" t="s">
        <v>552</v>
      </c>
      <c r="G15" s="9" t="s">
        <v>553</v>
      </c>
      <c r="H15" s="9" t="s">
        <v>21</v>
      </c>
      <c r="I15" s="9"/>
    </row>
    <row r="16" customFormat="false" ht="35.05" hidden="false" customHeight="false" outlineLevel="0" collapsed="false">
      <c r="A16" s="9" t="s">
        <v>554</v>
      </c>
      <c r="B16" s="9" t="s">
        <v>555</v>
      </c>
      <c r="C16" s="9" t="s">
        <v>556</v>
      </c>
      <c r="D16" s="9" t="s">
        <v>557</v>
      </c>
      <c r="E16" s="9" t="s">
        <v>527</v>
      </c>
      <c r="F16" s="9" t="s">
        <v>558</v>
      </c>
      <c r="G16" s="9" t="s">
        <v>559</v>
      </c>
      <c r="H16" s="9" t="s">
        <v>21</v>
      </c>
      <c r="I16" s="9"/>
    </row>
    <row r="17" customFormat="false" ht="23.85" hidden="false" customHeight="false" outlineLevel="0" collapsed="false">
      <c r="A17" s="9" t="s">
        <v>560</v>
      </c>
      <c r="B17" s="9" t="s">
        <v>71</v>
      </c>
      <c r="C17" s="9" t="s">
        <v>561</v>
      </c>
      <c r="D17" s="9" t="s">
        <v>562</v>
      </c>
      <c r="E17" s="9" t="s">
        <v>563</v>
      </c>
      <c r="F17" s="9" t="s">
        <v>564</v>
      </c>
      <c r="G17" s="9" t="s">
        <v>565</v>
      </c>
      <c r="H17" s="9" t="s">
        <v>21</v>
      </c>
      <c r="I17" s="9"/>
    </row>
    <row r="18" customFormat="false" ht="23.85" hidden="false" customHeight="false" outlineLevel="0" collapsed="false">
      <c r="A18" s="9" t="s">
        <v>183</v>
      </c>
      <c r="B18" s="9" t="s">
        <v>71</v>
      </c>
      <c r="C18" s="9" t="s">
        <v>566</v>
      </c>
      <c r="D18" s="9" t="s">
        <v>567</v>
      </c>
      <c r="E18" s="9" t="s">
        <v>527</v>
      </c>
      <c r="F18" s="9" t="s">
        <v>510</v>
      </c>
      <c r="G18" s="9" t="s">
        <v>568</v>
      </c>
      <c r="H18" s="9" t="s">
        <v>21</v>
      </c>
      <c r="I18" s="9"/>
    </row>
    <row r="19" customFormat="false" ht="23.85" hidden="false" customHeight="false" outlineLevel="0" collapsed="false">
      <c r="A19" s="9" t="s">
        <v>346</v>
      </c>
      <c r="B19" s="9" t="s">
        <v>569</v>
      </c>
      <c r="C19" s="9" t="s">
        <v>570</v>
      </c>
      <c r="D19" s="9" t="s">
        <v>571</v>
      </c>
      <c r="E19" s="9" t="s">
        <v>572</v>
      </c>
      <c r="F19" s="9" t="s">
        <v>573</v>
      </c>
      <c r="G19" s="9" t="s">
        <v>574</v>
      </c>
      <c r="H19" s="9" t="s">
        <v>21</v>
      </c>
      <c r="I19" s="9"/>
    </row>
    <row r="20" customFormat="false" ht="23.85" hidden="false" customHeight="false" outlineLevel="0" collapsed="false">
      <c r="A20" s="9" t="s">
        <v>575</v>
      </c>
      <c r="B20" s="9" t="s">
        <v>30</v>
      </c>
      <c r="C20" s="9" t="s">
        <v>576</v>
      </c>
      <c r="D20" s="9" t="s">
        <v>577</v>
      </c>
      <c r="E20" s="9" t="s">
        <v>578</v>
      </c>
      <c r="F20" s="9" t="s">
        <v>579</v>
      </c>
      <c r="G20" s="9" t="s">
        <v>580</v>
      </c>
      <c r="H20" s="9" t="s">
        <v>21</v>
      </c>
      <c r="I20" s="9"/>
    </row>
    <row r="21" customFormat="false" ht="23.85" hidden="false" customHeight="false" outlineLevel="0" collapsed="false">
      <c r="A21" s="9" t="s">
        <v>581</v>
      </c>
      <c r="B21" s="9" t="s">
        <v>582</v>
      </c>
      <c r="C21" s="9" t="s">
        <v>583</v>
      </c>
      <c r="D21" s="9" t="s">
        <v>584</v>
      </c>
      <c r="E21" s="9" t="s">
        <v>585</v>
      </c>
      <c r="F21" s="9" t="s">
        <v>114</v>
      </c>
      <c r="G21" s="9" t="s">
        <v>586</v>
      </c>
      <c r="H21" s="9" t="s">
        <v>21</v>
      </c>
      <c r="I21" s="9"/>
    </row>
    <row r="22" customFormat="false" ht="35.05" hidden="false" customHeight="false" outlineLevel="0" collapsed="false">
      <c r="A22" s="9" t="s">
        <v>258</v>
      </c>
      <c r="B22" s="9" t="s">
        <v>43</v>
      </c>
      <c r="C22" s="9" t="s">
        <v>587</v>
      </c>
      <c r="D22" s="9" t="s">
        <v>588</v>
      </c>
      <c r="E22" s="9" t="s">
        <v>563</v>
      </c>
      <c r="F22" s="9" t="s">
        <v>510</v>
      </c>
      <c r="G22" s="9" t="s">
        <v>589</v>
      </c>
      <c r="H22" s="9" t="s">
        <v>21</v>
      </c>
      <c r="I22" s="9"/>
    </row>
    <row r="23" customFormat="false" ht="35.05" hidden="false" customHeight="false" outlineLevel="0" collapsed="false">
      <c r="A23" s="9" t="s">
        <v>335</v>
      </c>
      <c r="B23" s="9" t="s">
        <v>43</v>
      </c>
      <c r="C23" s="9" t="s">
        <v>590</v>
      </c>
      <c r="D23" s="9" t="s">
        <v>591</v>
      </c>
      <c r="E23" s="9" t="s">
        <v>527</v>
      </c>
      <c r="F23" s="9" t="s">
        <v>592</v>
      </c>
      <c r="G23" s="9" t="s">
        <v>593</v>
      </c>
      <c r="H23" s="9" t="s">
        <v>21</v>
      </c>
      <c r="I23" s="9"/>
    </row>
    <row r="24" customFormat="false" ht="35.05" hidden="false" customHeight="false" outlineLevel="0" collapsed="false">
      <c r="A24" s="9" t="s">
        <v>268</v>
      </c>
      <c r="B24" s="9" t="s">
        <v>524</v>
      </c>
      <c r="C24" s="9" t="s">
        <v>594</v>
      </c>
      <c r="D24" s="9" t="s">
        <v>595</v>
      </c>
      <c r="E24" s="9" t="s">
        <v>527</v>
      </c>
      <c r="F24" s="9" t="s">
        <v>510</v>
      </c>
      <c r="G24" s="9" t="s">
        <v>596</v>
      </c>
      <c r="H24" s="9" t="s">
        <v>21</v>
      </c>
      <c r="I24" s="9"/>
    </row>
    <row r="25" customFormat="false" ht="23.85" hidden="false" customHeight="false" outlineLevel="0" collapsed="false">
      <c r="A25" s="9" t="s">
        <v>255</v>
      </c>
      <c r="B25" s="9" t="s">
        <v>524</v>
      </c>
      <c r="C25" s="9" t="s">
        <v>597</v>
      </c>
      <c r="D25" s="9" t="s">
        <v>598</v>
      </c>
      <c r="E25" s="9" t="s">
        <v>527</v>
      </c>
      <c r="F25" s="9" t="s">
        <v>592</v>
      </c>
      <c r="G25" s="9" t="s">
        <v>599</v>
      </c>
      <c r="H25" s="9" t="s">
        <v>21</v>
      </c>
      <c r="I25" s="9"/>
    </row>
    <row r="26" customFormat="false" ht="23.85" hidden="false" customHeight="false" outlineLevel="0" collapsed="false">
      <c r="A26" s="9" t="s">
        <v>276</v>
      </c>
      <c r="B26" s="9" t="s">
        <v>43</v>
      </c>
      <c r="C26" s="9" t="s">
        <v>600</v>
      </c>
      <c r="D26" s="9" t="s">
        <v>601</v>
      </c>
      <c r="E26" s="9" t="s">
        <v>527</v>
      </c>
      <c r="F26" s="9" t="s">
        <v>510</v>
      </c>
      <c r="G26" s="9" t="s">
        <v>602</v>
      </c>
      <c r="H26" s="9" t="s">
        <v>21</v>
      </c>
      <c r="I26" s="9"/>
    </row>
    <row r="27" customFormat="false" ht="23.85" hidden="false" customHeight="false" outlineLevel="0" collapsed="false">
      <c r="A27" s="9" t="s">
        <v>158</v>
      </c>
      <c r="B27" s="9" t="s">
        <v>100</v>
      </c>
      <c r="C27" s="9" t="s">
        <v>603</v>
      </c>
      <c r="D27" s="9" t="s">
        <v>114</v>
      </c>
      <c r="E27" s="9" t="s">
        <v>604</v>
      </c>
      <c r="F27" s="9" t="s">
        <v>605</v>
      </c>
      <c r="G27" s="9" t="s">
        <v>606</v>
      </c>
      <c r="H27" s="9" t="s">
        <v>21</v>
      </c>
      <c r="I27" s="9"/>
    </row>
    <row r="28" customFormat="false" ht="23.85" hidden="false" customHeight="false" outlineLevel="0" collapsed="false">
      <c r="A28" s="9" t="s">
        <v>143</v>
      </c>
      <c r="B28" s="9" t="s">
        <v>607</v>
      </c>
      <c r="C28" s="9" t="s">
        <v>608</v>
      </c>
      <c r="D28" s="9" t="s">
        <v>114</v>
      </c>
      <c r="E28" s="9" t="s">
        <v>609</v>
      </c>
      <c r="F28" s="9" t="s">
        <v>564</v>
      </c>
      <c r="G28" s="9" t="s">
        <v>610</v>
      </c>
      <c r="H28" s="9" t="s">
        <v>21</v>
      </c>
      <c r="I28" s="9"/>
    </row>
    <row r="29" customFormat="false" ht="15" hidden="false" customHeight="false" outlineLevel="0" collapsed="false">
      <c r="A29" s="9" t="s">
        <v>611</v>
      </c>
      <c r="B29" s="9" t="s">
        <v>524</v>
      </c>
      <c r="C29" s="9" t="s">
        <v>612</v>
      </c>
      <c r="D29" s="9" t="s">
        <v>114</v>
      </c>
      <c r="E29" s="9" t="s">
        <v>613</v>
      </c>
      <c r="F29" s="9" t="s">
        <v>564</v>
      </c>
      <c r="G29" s="9" t="s">
        <v>614</v>
      </c>
      <c r="H29" s="9" t="s">
        <v>21</v>
      </c>
      <c r="I29" s="9"/>
    </row>
    <row r="30" customFormat="false" ht="23.85" hidden="false" customHeight="false" outlineLevel="0" collapsed="false">
      <c r="A30" s="9" t="s">
        <v>615</v>
      </c>
      <c r="B30" s="9" t="s">
        <v>524</v>
      </c>
      <c r="C30" s="9" t="s">
        <v>616</v>
      </c>
      <c r="D30" s="9" t="s">
        <v>114</v>
      </c>
      <c r="E30" s="9" t="s">
        <v>617</v>
      </c>
      <c r="F30" s="9" t="s">
        <v>618</v>
      </c>
      <c r="G30" s="9" t="s">
        <v>619</v>
      </c>
      <c r="H30" s="9" t="s">
        <v>21</v>
      </c>
      <c r="I30" s="9"/>
    </row>
    <row r="31" customFormat="false" ht="23.85" hidden="false" customHeight="false" outlineLevel="0" collapsed="false">
      <c r="A31" s="9" t="s">
        <v>620</v>
      </c>
      <c r="B31" s="9" t="s">
        <v>524</v>
      </c>
      <c r="C31" s="9" t="s">
        <v>621</v>
      </c>
      <c r="D31" s="9" t="s">
        <v>114</v>
      </c>
      <c r="E31" s="9" t="s">
        <v>622</v>
      </c>
      <c r="F31" s="9" t="s">
        <v>564</v>
      </c>
      <c r="G31" s="9" t="s">
        <v>623</v>
      </c>
      <c r="H31" s="9" t="s">
        <v>21</v>
      </c>
      <c r="I31" s="9"/>
    </row>
    <row r="32" customFormat="false" ht="23.85" hidden="false" customHeight="false" outlineLevel="0" collapsed="false">
      <c r="A32" s="9" t="s">
        <v>356</v>
      </c>
      <c r="B32" s="9" t="s">
        <v>524</v>
      </c>
      <c r="C32" s="9" t="s">
        <v>423</v>
      </c>
      <c r="D32" s="9" t="s">
        <v>114</v>
      </c>
      <c r="E32" s="9" t="s">
        <v>624</v>
      </c>
      <c r="F32" s="9" t="s">
        <v>625</v>
      </c>
      <c r="G32" s="9" t="s">
        <v>626</v>
      </c>
      <c r="H32" s="9" t="s">
        <v>21</v>
      </c>
      <c r="I32" s="9"/>
    </row>
    <row r="33" customFormat="false" ht="57.45" hidden="false" customHeight="false" outlineLevel="0" collapsed="false">
      <c r="A33" s="9" t="s">
        <v>110</v>
      </c>
      <c r="B33" s="9" t="s">
        <v>100</v>
      </c>
      <c r="C33" s="9" t="s">
        <v>627</v>
      </c>
      <c r="D33" s="9" t="s">
        <v>628</v>
      </c>
      <c r="E33" s="9" t="s">
        <v>629</v>
      </c>
      <c r="F33" s="9" t="s">
        <v>114</v>
      </c>
      <c r="G33" s="9" t="s">
        <v>630</v>
      </c>
      <c r="H33" s="9" t="s">
        <v>21</v>
      </c>
      <c r="I33" s="9"/>
    </row>
    <row r="34" customFormat="false" ht="68.65" hidden="false" customHeight="false" outlineLevel="0" collapsed="false">
      <c r="A34" s="9" t="s">
        <v>302</v>
      </c>
      <c r="B34" s="9" t="s">
        <v>100</v>
      </c>
      <c r="C34" s="9" t="s">
        <v>631</v>
      </c>
      <c r="D34" s="9" t="s">
        <v>632</v>
      </c>
      <c r="E34" s="9" t="s">
        <v>633</v>
      </c>
      <c r="F34" s="9" t="s">
        <v>634</v>
      </c>
      <c r="G34" s="9" t="s">
        <v>635</v>
      </c>
      <c r="H34" s="9" t="s">
        <v>21</v>
      </c>
      <c r="I34" s="9"/>
    </row>
    <row r="35" customFormat="false" ht="23.85" hidden="false" customHeight="false" outlineLevel="0" collapsed="false">
      <c r="A35" s="9" t="s">
        <v>636</v>
      </c>
      <c r="B35" s="9" t="s">
        <v>100</v>
      </c>
      <c r="C35" s="9" t="s">
        <v>637</v>
      </c>
      <c r="D35" s="9" t="s">
        <v>638</v>
      </c>
      <c r="E35" s="9" t="s">
        <v>639</v>
      </c>
      <c r="F35" s="9" t="s">
        <v>564</v>
      </c>
      <c r="G35" s="9" t="s">
        <v>640</v>
      </c>
      <c r="H35" s="9" t="s">
        <v>21</v>
      </c>
      <c r="I35" s="9"/>
    </row>
    <row r="36" customFormat="false" ht="23.85" hidden="false" customHeight="false" outlineLevel="0" collapsed="false">
      <c r="A36" s="9" t="s">
        <v>641</v>
      </c>
      <c r="B36" s="9" t="s">
        <v>642</v>
      </c>
      <c r="C36" s="9" t="s">
        <v>643</v>
      </c>
      <c r="D36" s="9" t="s">
        <v>644</v>
      </c>
      <c r="E36" s="9" t="s">
        <v>645</v>
      </c>
      <c r="F36" s="9" t="s">
        <v>646</v>
      </c>
      <c r="G36" s="9" t="s">
        <v>647</v>
      </c>
      <c r="H36" s="9" t="s">
        <v>21</v>
      </c>
      <c r="I36" s="9"/>
    </row>
    <row r="37" customFormat="false" ht="23.85" hidden="false" customHeight="false" outlineLevel="0" collapsed="false">
      <c r="A37" s="9" t="s">
        <v>648</v>
      </c>
      <c r="B37" s="9" t="s">
        <v>642</v>
      </c>
      <c r="C37" s="9" t="s">
        <v>649</v>
      </c>
      <c r="D37" s="9" t="s">
        <v>650</v>
      </c>
      <c r="E37" s="9" t="s">
        <v>527</v>
      </c>
      <c r="F37" s="9" t="s">
        <v>651</v>
      </c>
      <c r="G37" s="9" t="s">
        <v>652</v>
      </c>
      <c r="H37" s="9" t="s">
        <v>21</v>
      </c>
      <c r="I37" s="9"/>
    </row>
    <row r="38" customFormat="false" ht="15" hidden="false" customHeight="false" outlineLevel="0" collapsed="false">
      <c r="A38" s="9" t="s">
        <v>653</v>
      </c>
      <c r="B38" s="9" t="s">
        <v>642</v>
      </c>
      <c r="C38" s="9" t="s">
        <v>654</v>
      </c>
      <c r="D38" s="9" t="s">
        <v>655</v>
      </c>
      <c r="E38" s="9" t="s">
        <v>527</v>
      </c>
      <c r="F38" s="9" t="s">
        <v>656</v>
      </c>
      <c r="G38" s="9" t="s">
        <v>652</v>
      </c>
      <c r="H38" s="9" t="s">
        <v>21</v>
      </c>
      <c r="I38" s="9"/>
    </row>
    <row r="39" customFormat="false" ht="23.85" hidden="false" customHeight="false" outlineLevel="0" collapsed="false">
      <c r="A39" s="9" t="s">
        <v>296</v>
      </c>
      <c r="B39" s="9" t="s">
        <v>657</v>
      </c>
      <c r="C39" s="9" t="s">
        <v>658</v>
      </c>
      <c r="D39" s="9" t="s">
        <v>659</v>
      </c>
      <c r="E39" s="9" t="s">
        <v>660</v>
      </c>
      <c r="F39" s="9" t="s">
        <v>661</v>
      </c>
      <c r="G39" s="9" t="s">
        <v>662</v>
      </c>
      <c r="H39" s="9" t="s">
        <v>21</v>
      </c>
      <c r="I39" s="9"/>
    </row>
    <row r="40" customFormat="false" ht="35.05" hidden="false" customHeight="false" outlineLevel="0" collapsed="false">
      <c r="A40" s="9" t="s">
        <v>663</v>
      </c>
      <c r="B40" s="9" t="s">
        <v>642</v>
      </c>
      <c r="C40" s="9" t="s">
        <v>664</v>
      </c>
      <c r="D40" s="9" t="s">
        <v>665</v>
      </c>
      <c r="E40" s="9" t="s">
        <v>666</v>
      </c>
      <c r="F40" s="9" t="s">
        <v>114</v>
      </c>
      <c r="G40" s="9" t="s">
        <v>667</v>
      </c>
      <c r="H40" s="9" t="s">
        <v>21</v>
      </c>
      <c r="I40" s="9"/>
    </row>
    <row r="41" customFormat="false" ht="23.85" hidden="false" customHeight="false" outlineLevel="0" collapsed="false">
      <c r="A41" s="9" t="s">
        <v>668</v>
      </c>
      <c r="B41" s="9" t="s">
        <v>642</v>
      </c>
      <c r="C41" s="9" t="s">
        <v>669</v>
      </c>
      <c r="D41" s="9" t="s">
        <v>670</v>
      </c>
      <c r="E41" s="9" t="s">
        <v>671</v>
      </c>
      <c r="F41" s="9" t="s">
        <v>672</v>
      </c>
      <c r="G41" s="9" t="s">
        <v>673</v>
      </c>
      <c r="H41" s="9" t="s">
        <v>21</v>
      </c>
      <c r="I41" s="9"/>
    </row>
    <row r="42" customFormat="false" ht="35.05" hidden="false" customHeight="false" outlineLevel="0" collapsed="false">
      <c r="A42" s="9" t="s">
        <v>137</v>
      </c>
      <c r="B42" s="9" t="s">
        <v>524</v>
      </c>
      <c r="C42" s="9" t="s">
        <v>674</v>
      </c>
      <c r="D42" s="9" t="s">
        <v>675</v>
      </c>
      <c r="E42" s="9" t="s">
        <v>676</v>
      </c>
      <c r="F42" s="9" t="s">
        <v>677</v>
      </c>
      <c r="G42" s="9" t="s">
        <v>678</v>
      </c>
      <c r="H42" s="9" t="s">
        <v>21</v>
      </c>
      <c r="I42" s="9"/>
    </row>
    <row r="43" customFormat="false" ht="23.85" hidden="false" customHeight="false" outlineLevel="0" collapsed="false">
      <c r="A43" s="9" t="s">
        <v>247</v>
      </c>
      <c r="B43" s="9" t="s">
        <v>524</v>
      </c>
      <c r="C43" s="9" t="s">
        <v>679</v>
      </c>
      <c r="D43" s="9" t="s">
        <v>680</v>
      </c>
      <c r="E43" s="9" t="s">
        <v>681</v>
      </c>
      <c r="F43" s="9" t="s">
        <v>510</v>
      </c>
      <c r="G43" s="9" t="s">
        <v>682</v>
      </c>
      <c r="H43" s="9" t="s">
        <v>21</v>
      </c>
      <c r="I43" s="9"/>
    </row>
    <row r="44" customFormat="false" ht="23.85" hidden="false" customHeight="false" outlineLevel="0" collapsed="false">
      <c r="A44" s="9" t="s">
        <v>251</v>
      </c>
      <c r="B44" s="9" t="s">
        <v>524</v>
      </c>
      <c r="C44" s="9" t="s">
        <v>683</v>
      </c>
      <c r="D44" s="9" t="s">
        <v>684</v>
      </c>
      <c r="E44" s="9" t="s">
        <v>527</v>
      </c>
      <c r="F44" s="9" t="s">
        <v>510</v>
      </c>
      <c r="G44" s="9" t="s">
        <v>685</v>
      </c>
      <c r="H44" s="9" t="s">
        <v>21</v>
      </c>
      <c r="I44" s="9"/>
    </row>
    <row r="45" customFormat="false" ht="23.85" hidden="false" customHeight="false" outlineLevel="0" collapsed="false">
      <c r="A45" s="9" t="s">
        <v>686</v>
      </c>
      <c r="B45" s="9" t="s">
        <v>524</v>
      </c>
      <c r="C45" s="9" t="s">
        <v>687</v>
      </c>
      <c r="D45" s="9" t="s">
        <v>497</v>
      </c>
      <c r="E45" s="9" t="s">
        <v>688</v>
      </c>
      <c r="F45" s="9" t="s">
        <v>510</v>
      </c>
      <c r="G45" s="9" t="s">
        <v>689</v>
      </c>
      <c r="H45" s="9" t="s">
        <v>21</v>
      </c>
      <c r="I45" s="9"/>
    </row>
    <row r="46" customFormat="false" ht="15" hidden="false" customHeight="false" outlineLevel="0" collapsed="false">
      <c r="A46" s="9" t="s">
        <v>690</v>
      </c>
      <c r="B46" s="9" t="s">
        <v>524</v>
      </c>
      <c r="C46" s="9" t="s">
        <v>691</v>
      </c>
      <c r="D46" s="9" t="s">
        <v>114</v>
      </c>
      <c r="E46" s="9" t="s">
        <v>692</v>
      </c>
      <c r="F46" s="9" t="s">
        <v>510</v>
      </c>
      <c r="G46" s="9" t="s">
        <v>693</v>
      </c>
      <c r="H46" s="9" t="s">
        <v>21</v>
      </c>
      <c r="I46" s="9"/>
    </row>
    <row r="47" customFormat="false" ht="23.85" hidden="false" customHeight="false" outlineLevel="0" collapsed="false">
      <c r="A47" s="9" t="s">
        <v>243</v>
      </c>
      <c r="B47" s="9" t="s">
        <v>524</v>
      </c>
      <c r="C47" s="9" t="s">
        <v>694</v>
      </c>
      <c r="D47" s="9" t="s">
        <v>695</v>
      </c>
      <c r="E47" s="9" t="s">
        <v>696</v>
      </c>
      <c r="F47" s="9" t="s">
        <v>510</v>
      </c>
      <c r="G47" s="9" t="s">
        <v>697</v>
      </c>
      <c r="H47" s="9" t="s">
        <v>21</v>
      </c>
      <c r="I47" s="9"/>
    </row>
    <row r="48" customFormat="false" ht="23.85" hidden="false" customHeight="false" outlineLevel="0" collapsed="false">
      <c r="A48" s="9" t="s">
        <v>172</v>
      </c>
      <c r="B48" s="9" t="s">
        <v>524</v>
      </c>
      <c r="C48" s="9" t="s">
        <v>698</v>
      </c>
      <c r="D48" s="9" t="s">
        <v>114</v>
      </c>
      <c r="E48" s="9" t="s">
        <v>699</v>
      </c>
      <c r="F48" s="9" t="s">
        <v>114</v>
      </c>
      <c r="G48" s="9" t="s">
        <v>700</v>
      </c>
      <c r="H48" s="9" t="s">
        <v>21</v>
      </c>
      <c r="I48" s="9"/>
    </row>
    <row r="49" customFormat="false" ht="35.05" hidden="false" customHeight="false" outlineLevel="0" collapsed="false">
      <c r="A49" s="9" t="s">
        <v>209</v>
      </c>
      <c r="B49" s="9" t="s">
        <v>701</v>
      </c>
      <c r="C49" s="9" t="s">
        <v>702</v>
      </c>
      <c r="D49" s="9" t="s">
        <v>703</v>
      </c>
      <c r="E49" s="9" t="s">
        <v>563</v>
      </c>
      <c r="F49" s="9" t="s">
        <v>564</v>
      </c>
      <c r="G49" s="9" t="s">
        <v>704</v>
      </c>
      <c r="H49" s="9" t="s">
        <v>21</v>
      </c>
      <c r="I49" s="9"/>
    </row>
    <row r="50" customFormat="false" ht="23.85" hidden="false" customHeight="false" outlineLevel="0" collapsed="false">
      <c r="A50" s="9" t="s">
        <v>292</v>
      </c>
      <c r="B50" s="9" t="s">
        <v>524</v>
      </c>
      <c r="C50" s="9" t="s">
        <v>705</v>
      </c>
      <c r="D50" s="9" t="s">
        <v>706</v>
      </c>
      <c r="E50" s="9" t="s">
        <v>563</v>
      </c>
      <c r="F50" s="9" t="s">
        <v>510</v>
      </c>
      <c r="G50" s="9" t="s">
        <v>707</v>
      </c>
      <c r="H50" s="9" t="s">
        <v>21</v>
      </c>
      <c r="I50" s="9"/>
    </row>
    <row r="51" customFormat="false" ht="23.85" hidden="false" customHeight="false" outlineLevel="0" collapsed="false">
      <c r="A51" s="9" t="s">
        <v>327</v>
      </c>
      <c r="B51" s="9" t="s">
        <v>708</v>
      </c>
      <c r="C51" s="9" t="s">
        <v>709</v>
      </c>
      <c r="D51" s="9" t="s">
        <v>710</v>
      </c>
      <c r="E51" s="9" t="s">
        <v>711</v>
      </c>
      <c r="F51" s="9" t="s">
        <v>510</v>
      </c>
      <c r="G51" s="9" t="s">
        <v>712</v>
      </c>
      <c r="H51" s="9" t="s">
        <v>21</v>
      </c>
      <c r="I51" s="9"/>
    </row>
    <row r="52" customFormat="false" ht="15" hidden="false" customHeight="false" outlineLevel="0" collapsed="false">
      <c r="A52" s="9" t="s">
        <v>713</v>
      </c>
      <c r="B52" s="9" t="s">
        <v>714</v>
      </c>
      <c r="C52" s="9" t="s">
        <v>715</v>
      </c>
      <c r="D52" s="9" t="s">
        <v>716</v>
      </c>
      <c r="E52" s="9" t="s">
        <v>717</v>
      </c>
      <c r="F52" s="9" t="s">
        <v>510</v>
      </c>
      <c r="G52" s="9" t="s">
        <v>718</v>
      </c>
      <c r="H52" s="9" t="s">
        <v>21</v>
      </c>
      <c r="I52" s="9"/>
    </row>
    <row r="53" customFormat="false" ht="23.85" hidden="false" customHeight="false" outlineLevel="0" collapsed="false">
      <c r="A53" s="9" t="s">
        <v>719</v>
      </c>
      <c r="B53" s="9" t="s">
        <v>524</v>
      </c>
      <c r="C53" s="9" t="s">
        <v>720</v>
      </c>
      <c r="D53" s="9" t="s">
        <v>721</v>
      </c>
      <c r="E53" s="9" t="s">
        <v>527</v>
      </c>
      <c r="F53" s="9" t="s">
        <v>510</v>
      </c>
      <c r="G53" s="9" t="s">
        <v>722</v>
      </c>
      <c r="H53" s="9" t="s">
        <v>21</v>
      </c>
      <c r="I53" s="9"/>
    </row>
    <row r="54" customFormat="false" ht="23.85" hidden="false" customHeight="false" outlineLevel="0" collapsed="false">
      <c r="A54" s="9" t="s">
        <v>723</v>
      </c>
      <c r="B54" s="9" t="s">
        <v>524</v>
      </c>
      <c r="C54" s="9" t="s">
        <v>724</v>
      </c>
      <c r="D54" s="9" t="s">
        <v>114</v>
      </c>
      <c r="E54" s="9" t="s">
        <v>725</v>
      </c>
      <c r="F54" s="9" t="s">
        <v>510</v>
      </c>
      <c r="G54" s="9" t="s">
        <v>726</v>
      </c>
      <c r="H54" s="9" t="s">
        <v>21</v>
      </c>
      <c r="I54" s="9"/>
    </row>
    <row r="55" customFormat="false" ht="23.85" hidden="false" customHeight="false" outlineLevel="0" collapsed="false">
      <c r="A55" s="9" t="s">
        <v>727</v>
      </c>
      <c r="B55" s="9" t="s">
        <v>728</v>
      </c>
      <c r="C55" s="9" t="s">
        <v>729</v>
      </c>
      <c r="D55" s="9" t="s">
        <v>730</v>
      </c>
      <c r="E55" s="9" t="s">
        <v>731</v>
      </c>
      <c r="F55" s="9" t="s">
        <v>732</v>
      </c>
      <c r="G55" s="9" t="s">
        <v>733</v>
      </c>
      <c r="H55" s="9" t="s">
        <v>21</v>
      </c>
      <c r="I55" s="9"/>
    </row>
    <row r="56" customFormat="false" ht="15" hidden="false" customHeight="false" outlineLevel="0" collapsed="false">
      <c r="A56" s="9" t="s">
        <v>734</v>
      </c>
      <c r="B56" s="9" t="s">
        <v>728</v>
      </c>
      <c r="C56" s="9" t="s">
        <v>735</v>
      </c>
      <c r="D56" s="9" t="s">
        <v>736</v>
      </c>
      <c r="E56" s="9" t="s">
        <v>737</v>
      </c>
      <c r="F56" s="9" t="s">
        <v>738</v>
      </c>
      <c r="G56" s="9" t="s">
        <v>739</v>
      </c>
      <c r="H56" s="9" t="s">
        <v>21</v>
      </c>
      <c r="I56" s="9"/>
    </row>
  </sheetData>
  <autoFilter ref="A1:I56"/>
  <conditionalFormatting sqref="H2:H56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1">
    <dataValidation allowBlank="false" errorStyle="stop" operator="between" showDropDown="false" showErrorMessage="false" showInputMessage="false" sqref="H2:H56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2026-10-21T06:37:41Z</dcterms:created>
  <dc:creator>openpyxl</dc:creator>
  <dc:description/>
  <dc:language>en-US</dc:language>
  <cp:lastModifiedBy/>
  <dcterms:modified xsi:type="dcterms:W3CDTF">2026-10-21T06:37:41Z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