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usmnpvdi01.us.kworld.kpmg.com\Profiles_CW_VDI\mkurl\Appsense\Desktop\Megha\Incidents, RITMS, Defects\Oct\GEE-78335 Document Queries for Admin &amp; Monitoring Automations Tier 1\Draft\"/>
    </mc:Choice>
  </mc:AlternateContent>
  <xr:revisionPtr revIDLastSave="0" documentId="13_ncr:1_{D363B5AB-6EE4-463C-ABC3-47990A5D9608}" xr6:coauthVersionLast="47" xr6:coauthVersionMax="47" xr10:uidLastSave="{00000000-0000-0000-0000-000000000000}"/>
  <bookViews>
    <workbookView xWindow="-110" yWindow="-110" windowWidth="19420" windowHeight="11500" firstSheet="1" activeTab="1" xr2:uid="{7BB53E10-33A7-4FF5-ACD3-AFD609900424}"/>
  </bookViews>
  <sheets>
    <sheet name="Data Extensions" sheetId="4" state="hidden" r:id="rId1"/>
    <sheet name="Automations" sheetId="7" r:id="rId2"/>
    <sheet name="AutoREF" sheetId="10" r:id="rId3"/>
    <sheet name="MAP_DE_ACT_SQL" sheetId="9" r:id="rId4"/>
    <sheet name="Automation Improvement Ideas" sheetId="11" r:id="rId5"/>
    <sheet name="REFERENCE" sheetId="3" state="hidden" r:id="rId6"/>
    <sheet name="Followup" sheetId="5" state="hidden" r:id="rId7"/>
    <sheet name="Activities" sheetId="8" state="hidden" r:id="rId8"/>
  </sheets>
  <definedNames>
    <definedName name="_xlnm._FilterDatabase" localSheetId="3" hidden="1">MAP_DE_ACT_SQL!$B$1:$N$37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7" l="1"/>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A56" i="8"/>
  <c r="A57" i="8"/>
  <c r="A58" i="8"/>
  <c r="A59" i="8"/>
  <c r="A60" i="8"/>
  <c r="A61" i="8"/>
  <c r="A62" i="8"/>
  <c r="B56" i="8"/>
  <c r="B57" i="8"/>
  <c r="B58" i="8"/>
  <c r="B59" i="8"/>
  <c r="B60" i="8"/>
  <c r="B61" i="8"/>
  <c r="B62" i="8"/>
  <c r="A55" i="8"/>
  <c r="B55" i="8"/>
  <c r="A54" i="8"/>
  <c r="B54" i="8"/>
  <c r="A46" i="8"/>
  <c r="A47" i="8"/>
  <c r="A48" i="8"/>
  <c r="A49" i="8"/>
  <c r="A50" i="8"/>
  <c r="A51" i="8"/>
  <c r="A52" i="8"/>
  <c r="A53" i="8"/>
  <c r="B46" i="8"/>
  <c r="B47" i="8"/>
  <c r="B48" i="8"/>
  <c r="B49" i="8"/>
  <c r="B50" i="8"/>
  <c r="B51" i="8"/>
  <c r="B52" i="8"/>
  <c r="B53" i="8"/>
  <c r="A17" i="8"/>
  <c r="A18" i="8"/>
  <c r="A19" i="8"/>
  <c r="A20" i="8"/>
  <c r="A21" i="8"/>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A10" i="8"/>
  <c r="A11" i="8"/>
  <c r="A12" i="8"/>
  <c r="A13" i="8"/>
  <c r="A14" i="8"/>
  <c r="A15" i="8"/>
  <c r="A16" i="8"/>
  <c r="A22" i="8"/>
  <c r="A23" i="8"/>
  <c r="A24" i="8"/>
  <c r="A25" i="8"/>
  <c r="A26" i="8"/>
  <c r="A27" i="8"/>
  <c r="A28" i="8"/>
  <c r="A29" i="8"/>
  <c r="A30" i="8"/>
  <c r="A31" i="8"/>
  <c r="A32" i="8"/>
  <c r="A33" i="8"/>
  <c r="A34" i="8"/>
  <c r="A35" i="8"/>
  <c r="A36" i="8"/>
  <c r="A37" i="8"/>
  <c r="A5" i="8"/>
  <c r="A6" i="8"/>
  <c r="A7" i="8"/>
  <c r="A8" i="8"/>
  <c r="A9" i="8"/>
  <c r="A38" i="8"/>
  <c r="A39" i="8"/>
  <c r="A40" i="8"/>
  <c r="A41" i="8"/>
  <c r="A42" i="8"/>
  <c r="A43" i="8"/>
  <c r="A44" i="8"/>
  <c r="A45" i="8"/>
  <c r="A3" i="8"/>
  <c r="A4" i="8"/>
  <c r="F4" i="3" a="1"/>
  <c r="F4" i="3"/>
  <c r="A2" i="8"/>
  <c r="M4" i="3" a="1"/>
  <c r="M4" i="3" s="1"/>
  <c r="L4" i="3" a="1"/>
  <c r="L4" i="3" s="1"/>
  <c r="A2" i="7"/>
  <c r="A3" i="7"/>
  <c r="B123" i="9" l="1"/>
  <c r="C123" i="9"/>
  <c r="A123" i="9" s="1"/>
  <c r="B124" i="9"/>
  <c r="C124" i="9"/>
  <c r="A124" i="9" s="1"/>
  <c r="B125" i="9"/>
  <c r="C125" i="9"/>
  <c r="A125" i="9" s="1"/>
  <c r="B118" i="9"/>
  <c r="C118" i="9"/>
  <c r="A118" i="9" s="1"/>
  <c r="B119" i="9"/>
  <c r="C119" i="9"/>
  <c r="A119" i="9" s="1"/>
  <c r="B120" i="9"/>
  <c r="C120" i="9"/>
  <c r="A120" i="9" s="1"/>
  <c r="B121" i="9"/>
  <c r="C121" i="9"/>
  <c r="A121" i="9" s="1"/>
  <c r="B113" i="9"/>
  <c r="C113" i="9"/>
  <c r="A113" i="9" s="1"/>
  <c r="B114" i="9"/>
  <c r="C114" i="9"/>
  <c r="A114" i="9" s="1"/>
  <c r="B115" i="9"/>
  <c r="C115" i="9"/>
  <c r="A115" i="9" s="1"/>
  <c r="B116" i="9"/>
  <c r="C116" i="9"/>
  <c r="A116" i="9" s="1"/>
  <c r="B112" i="9"/>
  <c r="C112" i="9"/>
  <c r="A112" i="9" s="1"/>
  <c r="N4" i="3" a="1"/>
  <c r="N4" i="3" s="1"/>
  <c r="B108" i="9"/>
  <c r="C108" i="9"/>
  <c r="A108" i="9" s="1"/>
  <c r="B109" i="9"/>
  <c r="C109" i="9"/>
  <c r="A109" i="9" s="1"/>
  <c r="B110" i="9"/>
  <c r="C110" i="9"/>
  <c r="A110" i="9" s="1"/>
  <c r="B111" i="9"/>
  <c r="C111" i="9"/>
  <c r="A111" i="9" s="1"/>
  <c r="B103" i="9"/>
  <c r="C103" i="9"/>
  <c r="A103" i="9" s="1"/>
  <c r="B104" i="9"/>
  <c r="C104" i="9"/>
  <c r="A104" i="9" s="1"/>
  <c r="B105" i="9"/>
  <c r="C105" i="9"/>
  <c r="A105" i="9" s="1"/>
  <c r="B106" i="9"/>
  <c r="C106" i="9"/>
  <c r="A106" i="9" s="1"/>
  <c r="B98" i="9"/>
  <c r="C98" i="9"/>
  <c r="A98" i="9" s="1"/>
  <c r="B99" i="9"/>
  <c r="C99" i="9"/>
  <c r="A99" i="9" s="1"/>
  <c r="B100" i="9"/>
  <c r="C100" i="9"/>
  <c r="A100" i="9" s="1"/>
  <c r="B101" i="9"/>
  <c r="C101" i="9"/>
  <c r="A101" i="9" s="1"/>
  <c r="B95" i="9"/>
  <c r="C95" i="9"/>
  <c r="A95" i="9" s="1"/>
  <c r="B96" i="9"/>
  <c r="C96" i="9"/>
  <c r="A96" i="9" s="1"/>
  <c r="B92" i="9"/>
  <c r="C92" i="9"/>
  <c r="A92" i="9" s="1"/>
  <c r="B93" i="9"/>
  <c r="C93" i="9"/>
  <c r="A93" i="9" s="1"/>
  <c r="B88" i="9"/>
  <c r="C88" i="9"/>
  <c r="A88" i="9" s="1"/>
  <c r="B89" i="9"/>
  <c r="C89" i="9"/>
  <c r="A89" i="9" s="1"/>
  <c r="B90" i="9"/>
  <c r="C90" i="9"/>
  <c r="A90" i="9" s="1"/>
  <c r="B86" i="9"/>
  <c r="C86" i="9"/>
  <c r="A86" i="9" s="1"/>
  <c r="B84" i="9"/>
  <c r="C84" i="9"/>
  <c r="A84" i="9" s="1"/>
  <c r="B81" i="9"/>
  <c r="C81" i="9"/>
  <c r="A81" i="9" s="1"/>
  <c r="B82" i="9"/>
  <c r="C82" i="9"/>
  <c r="A82" i="9" s="1"/>
  <c r="B78" i="9"/>
  <c r="C78" i="9"/>
  <c r="A78" i="9" s="1"/>
  <c r="B79" i="9"/>
  <c r="C79" i="9"/>
  <c r="A79" i="9" s="1"/>
  <c r="B76" i="9"/>
  <c r="C76" i="9"/>
  <c r="A76" i="9" s="1"/>
  <c r="C69" i="9"/>
  <c r="A69" i="9" s="1"/>
  <c r="B69" i="9"/>
  <c r="B71" i="9"/>
  <c r="C71" i="9"/>
  <c r="A71" i="9" s="1"/>
  <c r="B72" i="9"/>
  <c r="C72" i="9"/>
  <c r="A72" i="9" s="1"/>
  <c r="B73" i="9"/>
  <c r="C73" i="9"/>
  <c r="A73" i="9" s="1"/>
  <c r="B74" i="9"/>
  <c r="C74" i="9"/>
  <c r="A74" i="9" s="1"/>
  <c r="B70" i="9"/>
  <c r="C70" i="9"/>
  <c r="A70" i="9" s="1"/>
  <c r="B75" i="9"/>
  <c r="C75" i="9"/>
  <c r="A75" i="9" s="1"/>
  <c r="B77" i="9"/>
  <c r="C77" i="9"/>
  <c r="A77" i="9" s="1"/>
  <c r="B80" i="9"/>
  <c r="C80" i="9"/>
  <c r="A80" i="9" s="1"/>
  <c r="B83" i="9"/>
  <c r="C83" i="9"/>
  <c r="A83" i="9" s="1"/>
  <c r="B85" i="9"/>
  <c r="C85" i="9"/>
  <c r="A85" i="9" s="1"/>
  <c r="B87" i="9"/>
  <c r="C87" i="9"/>
  <c r="A87" i="9" s="1"/>
  <c r="B91" i="9"/>
  <c r="C91" i="9"/>
  <c r="A91" i="9" s="1"/>
  <c r="B94" i="9"/>
  <c r="C94" i="9"/>
  <c r="A94" i="9" s="1"/>
  <c r="B97" i="9"/>
  <c r="C97" i="9"/>
  <c r="A97" i="9" s="1"/>
  <c r="B102" i="9"/>
  <c r="C102" i="9"/>
  <c r="A102" i="9" s="1"/>
  <c r="B107" i="9"/>
  <c r="C107" i="9"/>
  <c r="A107" i="9" s="1"/>
  <c r="B117" i="9"/>
  <c r="C117" i="9"/>
  <c r="A117" i="9" s="1"/>
  <c r="B122" i="9"/>
  <c r="C122" i="9"/>
  <c r="A122" i="9" s="1"/>
  <c r="B64" i="9"/>
  <c r="C64" i="9"/>
  <c r="A64" i="9" s="1"/>
  <c r="B65" i="9"/>
  <c r="C65" i="9"/>
  <c r="A65" i="9" s="1"/>
  <c r="B66" i="9"/>
  <c r="C66" i="9"/>
  <c r="A66" i="9" s="1"/>
  <c r="B67" i="9"/>
  <c r="C67" i="9"/>
  <c r="A67" i="9" s="1"/>
  <c r="B68" i="9"/>
  <c r="C68" i="9"/>
  <c r="A68" i="9" s="1"/>
  <c r="B58" i="9"/>
  <c r="C58" i="9"/>
  <c r="A58" i="9" s="1"/>
  <c r="B59" i="9"/>
  <c r="C59" i="9"/>
  <c r="A59" i="9" s="1"/>
  <c r="B60" i="9"/>
  <c r="C60" i="9"/>
  <c r="A60" i="9" s="1"/>
  <c r="B61" i="9"/>
  <c r="C61" i="9"/>
  <c r="A61" i="9" s="1"/>
  <c r="B62" i="9"/>
  <c r="C62" i="9"/>
  <c r="A62" i="9" s="1"/>
  <c r="B52" i="9"/>
  <c r="C52" i="9"/>
  <c r="A52" i="9" s="1"/>
  <c r="B53" i="9"/>
  <c r="C53" i="9"/>
  <c r="A53" i="9" s="1"/>
  <c r="B54" i="9"/>
  <c r="C54" i="9"/>
  <c r="A54" i="9" s="1"/>
  <c r="B55" i="9"/>
  <c r="C55" i="9"/>
  <c r="A55" i="9" s="1"/>
  <c r="B56" i="9"/>
  <c r="C56" i="9"/>
  <c r="A56" i="9" s="1"/>
  <c r="B46" i="9"/>
  <c r="C46" i="9"/>
  <c r="A46" i="9" s="1"/>
  <c r="B47" i="9"/>
  <c r="C47" i="9"/>
  <c r="A47" i="9" s="1"/>
  <c r="B48" i="9"/>
  <c r="C48" i="9"/>
  <c r="A48" i="9" s="1"/>
  <c r="B49" i="9"/>
  <c r="C49" i="9"/>
  <c r="A49" i="9" s="1"/>
  <c r="B50" i="9"/>
  <c r="C50" i="9"/>
  <c r="A50" i="9" s="1"/>
  <c r="B40" i="9"/>
  <c r="C40" i="9"/>
  <c r="A40" i="9" s="1"/>
  <c r="B41" i="9"/>
  <c r="C41" i="9"/>
  <c r="A41" i="9" s="1"/>
  <c r="B42" i="9"/>
  <c r="C42" i="9"/>
  <c r="A42" i="9" s="1"/>
  <c r="B43" i="9"/>
  <c r="C43" i="9"/>
  <c r="A43" i="9" s="1"/>
  <c r="B44" i="9"/>
  <c r="C44" i="9"/>
  <c r="A44" i="9" s="1"/>
  <c r="B39" i="9"/>
  <c r="C39" i="9"/>
  <c r="A39" i="9" s="1"/>
  <c r="B45" i="9"/>
  <c r="C45" i="9"/>
  <c r="A45" i="9" s="1"/>
  <c r="B51" i="9"/>
  <c r="C51" i="9"/>
  <c r="A51" i="9" s="1"/>
  <c r="B57" i="9"/>
  <c r="C57" i="9"/>
  <c r="A57" i="9" s="1"/>
  <c r="B63" i="9"/>
  <c r="C63" i="9"/>
  <c r="A63" i="9" s="1"/>
  <c r="B37" i="9"/>
  <c r="C37" i="9"/>
  <c r="A37" i="9" s="1"/>
  <c r="B38" i="9"/>
  <c r="C38" i="9"/>
  <c r="A38" i="9" s="1"/>
  <c r="B3" i="9"/>
  <c r="C3" i="9"/>
  <c r="A3" i="9" s="1"/>
  <c r="B4" i="9"/>
  <c r="C4" i="9"/>
  <c r="A4" i="9" s="1"/>
  <c r="B5" i="9"/>
  <c r="C5" i="9"/>
  <c r="A5" i="9" s="1"/>
  <c r="B6" i="9"/>
  <c r="C6" i="9"/>
  <c r="A6" i="9" s="1"/>
  <c r="B7" i="9"/>
  <c r="C7" i="9"/>
  <c r="A7" i="9" s="1"/>
  <c r="B8" i="9"/>
  <c r="C8" i="9"/>
  <c r="A8" i="9" s="1"/>
  <c r="B9" i="9"/>
  <c r="C9" i="9"/>
  <c r="A9" i="9" s="1"/>
  <c r="B10" i="9"/>
  <c r="C10" i="9"/>
  <c r="A10" i="9" s="1"/>
  <c r="B11" i="9"/>
  <c r="C11" i="9"/>
  <c r="A11" i="9" s="1"/>
  <c r="B12" i="9"/>
  <c r="C12" i="9"/>
  <c r="A12" i="9" s="1"/>
  <c r="B13" i="9"/>
  <c r="C13" i="9"/>
  <c r="A13" i="9" s="1"/>
  <c r="B14" i="9"/>
  <c r="C14" i="9"/>
  <c r="A14" i="9" s="1"/>
  <c r="B15" i="9"/>
  <c r="C15" i="9"/>
  <c r="A15" i="9" s="1"/>
  <c r="B16" i="9"/>
  <c r="C16" i="9"/>
  <c r="A16" i="9" s="1"/>
  <c r="B17" i="9"/>
  <c r="C17" i="9"/>
  <c r="A17" i="9" s="1"/>
  <c r="B18" i="9"/>
  <c r="C18" i="9"/>
  <c r="A18" i="9" s="1"/>
  <c r="B19" i="9"/>
  <c r="C19" i="9"/>
  <c r="A19" i="9" s="1"/>
  <c r="B20" i="9"/>
  <c r="C20" i="9"/>
  <c r="A20" i="9" s="1"/>
  <c r="B21" i="9"/>
  <c r="C21" i="9"/>
  <c r="A21" i="9" s="1"/>
  <c r="B22" i="9"/>
  <c r="C22" i="9"/>
  <c r="A22" i="9" s="1"/>
  <c r="B23" i="9"/>
  <c r="C23" i="9"/>
  <c r="A23" i="9" s="1"/>
  <c r="B24" i="9"/>
  <c r="C24" i="9"/>
  <c r="A24" i="9" s="1"/>
  <c r="B25" i="9"/>
  <c r="C25" i="9"/>
  <c r="A25" i="9" s="1"/>
  <c r="B26" i="9"/>
  <c r="C26" i="9"/>
  <c r="A26" i="9" s="1"/>
  <c r="B27" i="9"/>
  <c r="C27" i="9"/>
  <c r="A27" i="9" s="1"/>
  <c r="B28" i="9"/>
  <c r="C28" i="9"/>
  <c r="A28" i="9" s="1"/>
  <c r="B29" i="9"/>
  <c r="C29" i="9"/>
  <c r="A29" i="9" s="1"/>
  <c r="B30" i="9"/>
  <c r="C30" i="9"/>
  <c r="A30" i="9" s="1"/>
  <c r="B31" i="9"/>
  <c r="C31" i="9"/>
  <c r="A31" i="9" s="1"/>
  <c r="B32" i="9"/>
  <c r="C32" i="9"/>
  <c r="A32" i="9" s="1"/>
  <c r="B33" i="9"/>
  <c r="C33" i="9"/>
  <c r="A33" i="9" s="1"/>
  <c r="B34" i="9"/>
  <c r="C34" i="9"/>
  <c r="A34" i="9" s="1"/>
  <c r="B35" i="9"/>
  <c r="C35" i="9"/>
  <c r="A35" i="9" s="1"/>
  <c r="B36" i="9"/>
  <c r="C36" i="9"/>
  <c r="A36" i="9" s="1"/>
  <c r="C2" i="9"/>
  <c r="A2" i="9" s="1"/>
  <c r="B2" i="9"/>
  <c r="E4" i="3" a="1"/>
  <c r="E4"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<sst xmlns="http://schemas.openxmlformats.org/spreadsheetml/2006/main" count="2616" uniqueCount="691">
  <si>
    <t>DE NAME</t>
  </si>
  <si>
    <t>Date Checked</t>
  </si>
  <si>
    <t>DictionaryLink</t>
  </si>
  <si>
    <t>SchemaLink</t>
  </si>
  <si>
    <t>.</t>
  </si>
  <si>
    <t>SFMCLastModifiedDate</t>
  </si>
  <si>
    <t>FieldCount</t>
  </si>
  <si>
    <t>RecordCount</t>
  </si>
  <si>
    <t>Sendable</t>
  </si>
  <si>
    <t>Testable</t>
  </si>
  <si>
    <t>Retention</t>
  </si>
  <si>
    <t>Type</t>
  </si>
  <si>
    <t>Source</t>
  </si>
  <si>
    <t>SFID/SubKeyField</t>
  </si>
  <si>
    <t>HasInsertDate</t>
  </si>
  <si>
    <t>InsertDateField</t>
  </si>
  <si>
    <t>InsertDateNullable</t>
  </si>
  <si>
    <t>InsertDateDefault</t>
  </si>
  <si>
    <t>Notes</t>
  </si>
  <si>
    <t>Active Handraisers - KPMG US Webform Submissions</t>
  </si>
  <si>
    <t>https://kpmgus.sharepoint.com/sites/US-Marketing_Data_Management/Lists/SFMC%20Data%20Dictionary/Attachments/43/Active%20Handraisers%20-%20KPMG%20US%20Webform%20Submissions.xlsx?web=1</t>
  </si>
  <si>
    <t>No</t>
  </si>
  <si>
    <t>Off</t>
  </si>
  <si>
    <t>Filtered</t>
  </si>
  <si>
    <t>Centralized_Form_Processor_DE</t>
  </si>
  <si>
    <t>Salesforce_ID</t>
  </si>
  <si>
    <t>Y</t>
  </si>
  <si>
    <t>[Date]</t>
  </si>
  <si>
    <t>YES</t>
  </si>
  <si>
    <t>currentdate</t>
  </si>
  <si>
    <t>BACKup_CFP</t>
  </si>
  <si>
    <t>https://kpmgus.sharepoint.com/sites/US-Marketing_Data_Management/Lists/SFMC%20Data%20Dictionary/Attachments/526/BACKup_CFP.xlsx?web=1</t>
  </si>
  <si>
    <t>Standard</t>
  </si>
  <si>
    <t>NO</t>
  </si>
  <si>
    <t>Schema matches CFP default - 41 of 58 fields not used, Salesforce_ID not populated</t>
  </si>
  <si>
    <t>Type mismatch</t>
  </si>
  <si>
    <t>Centralized_Form _Journey</t>
  </si>
  <si>
    <t>https://kpmgus.sharepoint.com/sites/US-Marketing_Data_Management/Lists/SFMC%20Data%20Dictionary/Attachments/44/Centralized_Form%20_Journey.xlsx?web=1</t>
  </si>
  <si>
    <t>Yes</t>
  </si>
  <si>
    <t>AutomationTitle</t>
  </si>
  <si>
    <t>AutoID</t>
  </si>
  <si>
    <t>Automation Name</t>
  </si>
  <si>
    <t>LastChecked</t>
  </si>
  <si>
    <t>BU</t>
  </si>
  <si>
    <t>A_Location</t>
  </si>
  <si>
    <t>A_Key</t>
  </si>
  <si>
    <t>A_Desc</t>
  </si>
  <si>
    <t>A_CreatedDate</t>
  </si>
  <si>
    <t>A_LastSavedDate</t>
  </si>
  <si>
    <t>A_LastPausedDate</t>
  </si>
  <si>
    <t>A_Status</t>
  </si>
  <si>
    <t>A_StartingSource</t>
  </si>
  <si>
    <t>A_ScheduleInfo</t>
  </si>
  <si>
    <t>A_FileLocation</t>
  </si>
  <si>
    <t>A_TriggerInfo</t>
  </si>
  <si>
    <t>A_StepCount</t>
  </si>
  <si>
    <t>A_ErrorRate</t>
  </si>
  <si>
    <t>A_ErrorNotificationEmails</t>
  </si>
  <si>
    <t>A_HasErrorMonitor</t>
  </si>
  <si>
    <t>A_AvgRunTime</t>
  </si>
  <si>
    <t>A_Campaign</t>
  </si>
  <si>
    <t>A_NextRun</t>
  </si>
  <si>
    <t>A_LastRunStatus</t>
  </si>
  <si>
    <t>A_LastRun</t>
  </si>
  <si>
    <t>A_LastModified</t>
  </si>
  <si>
    <t>01A</t>
  </si>
  <si>
    <t>AutomationName</t>
  </si>
  <si>
    <t>n/a</t>
  </si>
  <si>
    <t>PROD</t>
  </si>
  <si>
    <t>my automations/</t>
  </si>
  <si>
    <t>Schedule</t>
  </si>
  <si>
    <t>09B</t>
  </si>
  <si>
    <t>Consent-Consent Updates</t>
  </si>
  <si>
    <t>my automations/09. Preference/B.Daily</t>
  </si>
  <si>
    <t>0f875206-cc21-4f9a-a4f5-40ebed2995cd</t>
  </si>
  <si>
    <t>Automation that processes consent status from SC. Also processes one click unsubscribe action. GEE-3391</t>
  </si>
  <si>
    <t>Active</t>
  </si>
  <si>
    <t>Every 6 Hours</t>
  </si>
  <si>
    <t>us-dlbpgsfmcmonitoring@kpmg.com</t>
  </si>
  <si>
    <t>yes</t>
  </si>
  <si>
    <t>Reporting-LinkedInLive_UpdateMasterDE</t>
  </si>
  <si>
    <t>N/A</t>
  </si>
  <si>
    <t> </t>
  </si>
  <si>
    <t>Awaiting Trigger</t>
  </si>
  <si>
    <t>SFIDUpdate-WebRFPGlobalMASTERDE</t>
  </si>
  <si>
    <t>Creates an automated task when a contact or lead submits the global RFP web form - GSENHANCEM-336 GSENHANCEM-335</t>
  </si>
  <si>
    <t>Scheduled</t>
  </si>
  <si>
    <t>SFTaskCreation-GlobalRFPExistingContact</t>
  </si>
  <si>
    <t>Update the Comment Field in the Sales Cloud -GSENHANCEM-336</t>
  </si>
  <si>
    <t>Running</t>
  </si>
  <si>
    <t>CVENT-CventInviteExport</t>
  </si>
  <si>
    <t>Export of Cvent invitee information to MoveIt</t>
  </si>
  <si>
    <t>Consent-UpdateAlumniOptIn</t>
  </si>
  <si>
    <t>Automation to process alumni opt ins and opt outs to keep the alumni status aligned in both marketing cloud and sales cloud. GEE-16210, GSENHANCEM-16669.</t>
  </si>
  <si>
    <t>F</t>
  </si>
  <si>
    <t>Suppression-HardBounceList</t>
  </si>
  <si>
    <t>This automation captures the bounced records based on the Bopunce category, subcategory and SMTP code. It also updates the all subscribers status to held for the bounced records based on emails</t>
  </si>
  <si>
    <t>InPersonEvent-AttendedTradeshowBoothScans</t>
  </si>
  <si>
    <t>Automated Process for In-Person Event Attended (Tradeshow Booth Scans) - GSENHANCEM-9628</t>
  </si>
  <si>
    <t>Subscribers-MarketingTeamResetAllSubscribersStatus</t>
  </si>
  <si>
    <t>Reactivates subscribers by updating their status to Active based on email addresses from a Data Extension, with errors logged to Automation_Error_Log. GEE-18648</t>
  </si>
  <si>
    <t>SalesforceTaskCreation-EnrichmentTaskForActiveHandraisers</t>
  </si>
  <si>
    <t>This Automation fetches the records from the centralized processor DE and triggers the journey which creates the task on the sales cloud.</t>
  </si>
  <si>
    <t>SFTaskCreation-MultipleInPersonAttendees</t>
  </si>
  <si>
    <t>Automation for Multiple In-Person Attendees from the Same Account (Update ParentId as AccountId if not null else update AccountId)</t>
  </si>
  <si>
    <t>SFIDUpdate-Maintain SalesforceID Marketing Data Sources</t>
  </si>
  <si>
    <t>Updates SalesforceID in 2nd and 3rd Party Source MASTER Data Extensions, as well as other key data extension such as Subscriber Preferences Email.</t>
  </si>
  <si>
    <t>CentralizedFormProcessor-MasterQA</t>
  </si>
  <si>
    <t>Identifies invalid campaign records, duplicates and incorrect preferences in Master_Centralized_Form Processor DE</t>
  </si>
  <si>
    <t>Reporting-NonEmailEngagedActivityAM</t>
  </si>
  <si>
    <t>Captures daily morning counts of non-email engagement activities by source and type, storing results for reporting; owned by Data Management Team.</t>
  </si>
  <si>
    <t>Admin-AutomationMetadataReport</t>
  </si>
  <si>
    <t>Automation to pull automation metadata with SQL activities. Pulls all automations and activities, but includes SQL metadata for SQL activities</t>
  </si>
  <si>
    <t>Segmentation-Segmentation Starter ALL</t>
  </si>
  <si>
    <t>Combines data from 11 diff. source to combine leads and contacts who are active. Doesn't include the e criteria of Segmentation Starter. Starting point for most target audiences.GEE-14125,14126,15124</t>
  </si>
  <si>
    <t>SFTaskCreation-EventAttendanceInPersonIn5Days</t>
  </si>
  <si>
    <t>Creates task when a lead/contact attends 2+ in-person client events within 5 business days. GEE-16176, GEE-3403, GEE-3400, GSENHANCEM-9455.</t>
  </si>
  <si>
    <t>LinkedIn-LeadsCollection</t>
  </si>
  <si>
    <t>Automation that pulls LinkedIn forms and responses from the linked in Form API and LinkedIn Lead API, then the data filters into their respective data extensions accordingly./AHR Webform task 18858</t>
  </si>
  <si>
    <t>CentralizedFormProcessor-CFPDuplicateDetectedError</t>
  </si>
  <si>
    <t>Refresh filtered DE for duplicate record errors during form processing via Centralized Form Processors</t>
  </si>
  <si>
    <t>CampaignMember-ValidateUpdateStatus</t>
  </si>
  <si>
    <t>Validate and update Campaign Member Status in Sales Cloud GEE7565, GEE-7563, GEE-7561, GEE-3380, GSENHANCEM-11299</t>
  </si>
  <si>
    <t>Reporting-Non_Email_Engaged_Activities-8349</t>
  </si>
  <si>
    <t>This maintains Non_Email_Engaged_Activities DE that incrementally updates daily retain Cvent archived records, in preparation for GSENHANCEM-8348.</t>
  </si>
  <si>
    <t>EmailActivity-EmailEngagedActivities</t>
  </si>
  <si>
    <t>Updates Email activities of Contacts such as Open Click Unsubscribe from various sources into EmailEngaged Activities DE - GSENHANCEM-1659 GSENHANCEM-11081</t>
  </si>
  <si>
    <t>Reporting-NHIClickTracking</t>
  </si>
  <si>
    <t>Automation to track NHI clicks with data to be shared with the marketing team and MCI per GEE-12391</t>
  </si>
  <si>
    <t>CampaignMember-SuppressedStatusesConsolidation</t>
  </si>
  <si>
    <t>Queries suppressed statuses into multiple target DEs used for suppression and updates Campaign Member Status to new Suppressed statuses- GSENHANCEM-12648</t>
  </si>
  <si>
    <t>Admin-DEsForDataCloudPOC</t>
  </si>
  <si>
    <t>Populate shared DEs for data views and activities with data to be used in a lower BU for the DataCloudPOC</t>
  </si>
  <si>
    <t>CampaignMember-CampaignHierarchyRollupCampaignMemberAdditions</t>
  </si>
  <si>
    <t>Adding campaign members to a tactic record type that has parent or grandparent campaigns</t>
  </si>
  <si>
    <t>Suppression-DormancyCycles</t>
  </si>
  <si>
    <t>Develop solution to re-engage dormant contacts based on campaign (tactic)s, accounts, and # email sends - DC 1, Re-engagg cyc1, DC2, Re-engg Cyc2 GEE-3379|GSENHANCEM-19736|18962|19063|19062</t>
  </si>
  <si>
    <t>AutomatedDeletion-DERecycleBinItems</t>
  </si>
  <si>
    <t>&lt;POC&gt; Automated deletion of Recycle Bin items in Data Extensions- GEE-3719 GSENHANCEM-15192</t>
  </si>
  <si>
    <t>SyncDE-InternationalCounts</t>
  </si>
  <si>
    <t>International Contact Count Automations SFDCCRM-14597</t>
  </si>
  <si>
    <t>Admin-CLUfrom4BUs_CwoCA</t>
  </si>
  <si>
    <t>Splits and refines contact records from CLUfrom4BUs_CwoCA into smaller sections by selecting the top 50% of records</t>
  </si>
  <si>
    <t>Suppression-DomainExclusionList</t>
  </si>
  <si>
    <t>Domain exclusion list for all domains that have received more than 5 email sends with no opens and no clicks in the last 120 days - GSENHANCEM-3096</t>
  </si>
  <si>
    <t>EmailActivity-SendLogs</t>
  </si>
  <si>
    <t>Automation will run on daily basis to fetch data of EmailSendLog.</t>
  </si>
  <si>
    <t>Consent-Activity Based 1st Party Consent</t>
  </si>
  <si>
    <t>Pulls information to aggregate email addresses who have expressed first party consent</t>
  </si>
  <si>
    <t>Suppression-ContactDomainDormancySuppression</t>
  </si>
  <si>
    <t>Looks at _Subscribers and ContactPointEmail_Salesforce_5 whose domains are present in Domain_Dormancy_Suppression</t>
  </si>
  <si>
    <t>Suppression-ContactDormancySuppression</t>
  </si>
  <si>
    <t>Update Contact_Dormancy_Suppression DE with individuals who have 0 clicks &amp; 0 opens with specific periods (past 30/60/90/120/180 days). GnS Stories: 3140, 4062</t>
  </si>
  <si>
    <t>Consent-Consent_Data_Tracker</t>
  </si>
  <si>
    <t>Privacy consent status optout emails to remove from Subscriber preference Email DE</t>
  </si>
  <si>
    <t>EmailActivity-MasterSendLog_Daily</t>
  </si>
  <si>
    <t>Automation to overwrite records in MasterSendLog_Daily DE on Daily basis &amp; Appending MasterSendLog_Daily_CRMALog DE</t>
  </si>
  <si>
    <t>Preference-AuditPreferenceEnrollmentUpdate</t>
  </si>
  <si>
    <t>Updating the Date of Initial Enrollment from Audit Preferences into a separate data extension "Initial_Date_of_Enrollment_Update"</t>
  </si>
  <si>
    <t>Reporting-NonEmailEngagedActivityPM</t>
  </si>
  <si>
    <t>Captures daily evening counts of non-email engagement activities by source and type, storing results for reporting; owned by Data Management Team.</t>
  </si>
  <si>
    <t>CRMA-CombinedPreferencesDaily</t>
  </si>
  <si>
    <t>MarketingScore-AllSources</t>
  </si>
  <si>
    <t>Calculates engagement based on type of activity a Lead or Contact has with KPMG. Each activity has a different score assoicated with the interaction. GS-392</t>
  </si>
  <si>
    <t>Segmentation-ContactsForRejectedNurture</t>
  </si>
  <si>
    <t>Create a send score and preference score. Filter on type and outcome reason to create contacts eligible for Nurture campaign</t>
  </si>
  <si>
    <t>Admin-CRMAHealthCheck</t>
  </si>
  <si>
    <t>Automation to pull statuses for CRMA PM health check automations. Statuses to be used in afternoon email send to stakeholders</t>
  </si>
  <si>
    <t>CRMA-ChannelExtractsDaily</t>
  </si>
  <si>
    <t>Daily File Import of Channel MC Intelligence Extracts for CRMA pickup to Analytics Studio</t>
  </si>
  <si>
    <t>Admin-MCUsersDeactivatedNotification</t>
  </si>
  <si>
    <t>Provide a monthly report of deactivated MC users for MC Product Owner GS 3957</t>
  </si>
  <si>
    <t>LinkedIn-RefreshAccessToken</t>
  </si>
  <si>
    <t>Automation to Refresh the Access token for LinkedIn API Enhancements (covering future related enhancements as well) i.e. GSENHANCEM-7660 &amp; GSENHANCEM-18858</t>
  </si>
  <si>
    <t>Reporting-SycndContactsLeadsUsers</t>
  </si>
  <si>
    <t>Combines Salesforce contacts, leads, and users into a unified dataset with standardized IDs and source labels; overwrites Syncd_ContactsLeadsUsers_FourBUs on each run.</t>
  </si>
  <si>
    <t>Reporting-VendorContactDataKcentral_UpdateMasterDE</t>
  </si>
  <si>
    <t>Reporting-WebRFPGlobal_UpdateMasterDE</t>
  </si>
  <si>
    <t>Reporting-GA4Pageview_UpdateMasterDE</t>
  </si>
  <si>
    <t>Everest-EmailDeliverability_MonitoringGeneral</t>
  </si>
  <si>
    <t>Reporting-GA4DataOnboarding</t>
  </si>
  <si>
    <t>Reporting-GlobalClicks</t>
  </si>
  <si>
    <t>Extracts click tracking data from the _Click data view, capturing engagement details such as URLs, domains, and subscriber activity; overwrites Global_Clicks DE on each run.</t>
  </si>
  <si>
    <t>Reporting-Leads-ClosedStatusV2</t>
  </si>
  <si>
    <t>Extracts Salesforce leads with a closed status from Lead_Salesforce_5, capturing ID, email, and status details; overwrites Leads_Closed_Status_v2 DE on each run.</t>
  </si>
  <si>
    <t>SFupdate-Emailchange_Invalid_Valid</t>
  </si>
  <si>
    <t>Extracts and evaluates Salesforce contact email records against invalid email suppression lists, identifying active invalid and recovery scenarios; overwrites intermediate and comparison DEs.</t>
  </si>
  <si>
    <t>Reporting-GA4Event_UpdateMasterDE</t>
  </si>
  <si>
    <t>CentralizedFormProcessor-Extract</t>
  </si>
  <si>
    <t>Extracts MCFP data and transfers the output file to FTP for downstream QA processing; runs daily to support centralized form data handling.</t>
  </si>
  <si>
    <t>Everest-EmailDeliverability_UniqueEmailAddressMostRecentRunDate</t>
  </si>
  <si>
    <t>Extracts most recent Everest email deliverability records per email address from master data, capturing latest status and run details; overwrites EverestEmailDeliverability_Unique_MASTER on each run.</t>
  </si>
  <si>
    <t>CVENT-Import</t>
  </si>
  <si>
    <t>ExactTarget-JobIDCampaignID</t>
  </si>
  <si>
    <t>Extracts unique JobID and CampaignID pairs from MasterSendLog where CampaignID is present; overwrites ExactTargetJobIDCampaignID on each run.</t>
  </si>
  <si>
    <t>Reporting-TaxBenchmarkingInprogres_UpdateMasterDE</t>
  </si>
  <si>
    <t>Reporting-IntradoActivity_UpdateMasterDE</t>
  </si>
  <si>
    <t>Reporting-TaxBenchmarkingCompleted_Import</t>
  </si>
  <si>
    <t>Reporting-ExeEdu-OnlineClassCompletion</t>
  </si>
  <si>
    <t>Reporting-PIERegAttended_UpdateMasterDE</t>
  </si>
  <si>
    <t>Reporting-FileImportUT</t>
  </si>
  <si>
    <t>Reporting-Intrado-Cleanup</t>
  </si>
  <si>
    <t>Suppression-InvalidEmail_MASTER</t>
  </si>
  <si>
    <t>Extracts and consolidates invalid and risky email addresses from Everest and ExactTarget data, enriching with Salesforce IDs; overwrites and updates InvalidEmail_MASTER_Suppression on each run.</t>
  </si>
  <si>
    <t>Suppression-InvalidEmail_CPEUsageType</t>
  </si>
  <si>
    <t>Identifies and classifies invalid email usage types by comparing Salesforce contact email data with suppression sources; overwrites InvalidEmail_MASTER_Suppression_CPEUsageType on each run.</t>
  </si>
  <si>
    <t>Segmentation-ReEngage</t>
  </si>
  <si>
    <t>Consent-StatusOptIn</t>
  </si>
  <si>
    <t>Extracts recent Salesforce records with Opt-in consent status, capturing contact details and consent dates; overwrites PrivacyConsentStatus_OptIn on each run.</t>
  </si>
  <si>
    <t>Consent-StatusOptOut</t>
  </si>
  <si>
    <t>Extracts Salesforce records with Opt-out consent status, capturing contact details and consent dates; overwrites PrivacyConsentStatus_Optout on each run.</t>
  </si>
  <si>
    <t>Reporting-PIEMembership_UpdateMasterDE</t>
  </si>
  <si>
    <t>Segmentation-ReEngagement_RecordsUpdate</t>
  </si>
  <si>
    <t>Updates re-engagement records by identifying recently re-subscribed users from preference data and refreshes the target audience; appends and overwrites related data extensions on each run.</t>
  </si>
  <si>
    <t>Reporting-QualtricsResponses_UpdateMasterDE</t>
  </si>
  <si>
    <t>Segmentation-Anteriad_Nurtures</t>
  </si>
  <si>
    <t>Segments Anteriad nurture audiences from centralized form data based on tactic and preference criteria, capturing latest engagement details; overwrites target data extensions on each run.</t>
  </si>
  <si>
    <t>CVENT-TempLoad</t>
  </si>
  <si>
    <t>Reporting-MiscellaneousDataLoads</t>
  </si>
  <si>
    <t>Repoting-ExeEduCompletionActivity_UpdateMasterDE</t>
  </si>
  <si>
    <t>Reporting-ExeEdu-Registration</t>
  </si>
  <si>
    <t>Reporting-Pageview_UpdateMasterDE</t>
  </si>
  <si>
    <t>EmailActivity-OptOuts_LeadsContacts</t>
  </si>
  <si>
    <t>Extracts Salesforce contacts and leads with Opt-out consent status, consolidating records into a unified suppression dataset; overwrites and appends Opt_Outs on each run.</t>
  </si>
  <si>
    <t>Reporting-GA360Event_UpdateMasterDE</t>
  </si>
  <si>
    <t>Reporting-Erepublic_UpdateMasterDE</t>
  </si>
  <si>
    <t>Reporting-AlumniIneligibleDeceased_Import</t>
  </si>
  <si>
    <t>Reporting-Active Handraisers - KPMG US Webform Submissions</t>
  </si>
  <si>
    <t>Extracts active handraiser records from KPMG US webform submissions using predefined filters, capturing submitted lead data; overwrites target data extension on each run.</t>
  </si>
  <si>
    <t>Reporting-CMO-UpdateMasterDE</t>
  </si>
  <si>
    <t>Reporting-MKTDataQC</t>
  </si>
  <si>
    <t>Consolidates marketing activity data from multiple sources into a unified QC dataset, enriching with Salesforce and consent details; overwrites and updates MKT_Data_QC on each run.</t>
  </si>
  <si>
    <t>Reporting-EmailEngagedActivities</t>
  </si>
  <si>
    <t>Combines email engagement and unsubscribe activity from ExactTarget, Eloqua, and preference data, enriching with Salesforce attributes and removing invalid records; overwrites target DE on each run.</t>
  </si>
  <si>
    <t>Reporting-GovExec_UpdateMasterDE</t>
  </si>
  <si>
    <t>SFIDValidation-NEEDQProcess-SFIDValidate</t>
  </si>
  <si>
    <t>Validates Salesforce IDs across non-email engagement data by comparing source datasets, identifying discrepancies, and enriching records; updates validation and reporting data extensions on each run.</t>
  </si>
  <si>
    <t>Reporting-JiffleNow-UpdateMasterDE</t>
  </si>
  <si>
    <t>Repoting-URLCampaignMapping</t>
  </si>
  <si>
    <t>Repoting-TrainingIndustry_UpdateMasterDE</t>
  </si>
  <si>
    <t>Campaign-General</t>
  </si>
  <si>
    <t>Admin-Reset_HeldActiveInvalidEmailMarketingCloud</t>
  </si>
  <si>
    <t>Resets held subscribers to active status by excluding invalid emails, exporting update records, and re-importing to All Subscribers; overwrites and updates suppression data on each run.</t>
  </si>
  <si>
    <t>CampaignMember-General</t>
  </si>
  <si>
    <t>Repoting-TrueInfluenceActivity_UpdateMasterDE</t>
  </si>
  <si>
    <t>Reporting-GoogleFormSubmit_UpdateMasterDE</t>
  </si>
  <si>
    <t>Reporting-EloquaOrganic_UpdateMasterDE</t>
  </si>
  <si>
    <t>Reporting-DemandWorks_UpdateMasterDE</t>
  </si>
  <si>
    <t>Reporting-MeritB2B_UpdateMasterDE</t>
  </si>
  <si>
    <t>Reporting-GoogleAds_UpdateMasterDE</t>
  </si>
  <si>
    <t>Admin-ContactsWithoutChannelAddresses</t>
  </si>
  <si>
    <t>Extracts contacts without channel addresses using built-in data extract to identify records missing contactable channels; generates file output on each run.</t>
  </si>
  <si>
    <t>Segmentation-Untapped-Potential</t>
  </si>
  <si>
    <t>Reporting-NAHRES_UpdateMasterDE</t>
  </si>
  <si>
    <t>Reporting-ZoomInfo_UpdateMasterDE</t>
  </si>
  <si>
    <t>Admin-DataView_General</t>
  </si>
  <si>
    <t>Admin-DEArchive</t>
  </si>
  <si>
    <t>Archives Salesforce contact, lead, and account records into a unified dataset and generates daily record counts for tracking; updates archive and count data extensions on each run.</t>
  </si>
  <si>
    <t>Reporting-SmartBrief_UpdateMasterDE</t>
  </si>
  <si>
    <t>LinkedIn-FilterDEs</t>
  </si>
  <si>
    <t>Segments LinkedIn and form submission data into campaign-specific audiences based on preference and form criteria; overwrites and updates target data extensions on each run.</t>
  </si>
  <si>
    <t>Reporting-Facebook-FormSubmit</t>
  </si>
  <si>
    <t>Admin-MetaDataCopy</t>
  </si>
  <si>
    <t>CentralizedFormProcessor-Update-MasterDE</t>
  </si>
  <si>
    <t>Updates centralized form processor data by staging latest records and inserting new entries into the master dataset; updates staging and master data extensions on each run.</t>
  </si>
  <si>
    <t>EmailActivity-ExtractMCFTP</t>
  </si>
  <si>
    <t>Extracts recent email activity data, exports records to a file, and transfers output to SFTP for external reporting; overwrites staging data extension on each run.</t>
  </si>
  <si>
    <t>Admin-EmailEngagedActivities_Cleanup</t>
  </si>
  <si>
    <t>Admin-NonEmailEngagedActivities_Cleanup</t>
  </si>
  <si>
    <t>Admin-NonEmailEngagedActivities-ArchivedCampaignValidateV1</t>
  </si>
  <si>
    <t>Validates archived non-email engagement records against Cvent campaign mapping, identifies mismatches, and removes invalid records; overwrites validation and updates source data extensions on each run</t>
  </si>
  <si>
    <t>Admin-DEV-DataViewsDaily</t>
  </si>
  <si>
    <t>Extracts daily email activity and bounce data from system views, maps to Salesforce contacts, and prepares DEV datasets for CRMA use and PK activity processing.</t>
  </si>
  <si>
    <t>Reporting-ConsumerGoodsTechnology-CGT-UpdateMasterDE</t>
  </si>
  <si>
    <t>Segmentation-Segmentation-TaxNewsFlash-Africa</t>
  </si>
  <si>
    <t>Segmentation-Segmentation-TaxNewsFlash-AltInvTaxMattersPEHF</t>
  </si>
  <si>
    <t>Segmentation-Segmentation-TaxNewsFlash-Americas</t>
  </si>
  <si>
    <t>Segmentation-Segmentation-TaxNewsFlash-AsiaPacific</t>
  </si>
  <si>
    <t>Segmentation-Segmentation-TaxNewsFlash-BEPS</t>
  </si>
  <si>
    <t>Segmentation-Segmentation-TaxNewsFlash-BEPSTransferPricingCombined</t>
  </si>
  <si>
    <t>Segmentation-Segmentation-TaxNewsFlash-Cooperatives</t>
  </si>
  <si>
    <t>Segmentation-Segmentation-TaxNewsFlash-DigitalEconomy</t>
  </si>
  <si>
    <t>Segmentation-Segmentation-TaxNewsFlash-DigitalizedEconomyIndirectTaxCombined</t>
  </si>
  <si>
    <t>Segmentation-Segmentation-TaxNewsFlash-Europe</t>
  </si>
  <si>
    <t>Segmentation-Segmentation-TaxNewsFlash-ExemptOrganizations</t>
  </si>
  <si>
    <t>Segmentation-Segmentation-TaxNewsFlash-FATCA</t>
  </si>
  <si>
    <t>Segmentation-Segmentation-TaxNewsFlash-IndirectTax</t>
  </si>
  <si>
    <t>Segmentation-Segmentation-TaxNewsFlash-SovereignWealthPensionFunds</t>
  </si>
  <si>
    <t>Segmentation-Segmentation-TaxNewsFlash-TaxControversy</t>
  </si>
  <si>
    <t>Segmentation-Segmentation-TaxNewsFlash-TradeCustoms</t>
  </si>
  <si>
    <t>Segmentation-Segmentation-TaxNewsFlash-TransferPricing</t>
  </si>
  <si>
    <t>Segmentation-Segmentation-TaxNewsFlash-UnitedStates</t>
  </si>
  <si>
    <t>Segmentation-Segmentation-TaxNewsFlash-WeekInTax</t>
  </si>
  <si>
    <t>Admin-AuditLogMCFTP</t>
  </si>
  <si>
    <t>Extracts daily audit trail activity logs and transfers file to SFTP for monitoring and compliance reporting; generates and delivers file on each run.</t>
  </si>
  <si>
    <t>Admin-AuditTrailMaster</t>
  </si>
  <si>
    <t>Extracts audit logs, user metadata, and email activity; enriches and consolidates data for monitoring and compliance, and delivers outputs to SFTP for Splunk integration and reporting.</t>
  </si>
  <si>
    <t>Reporting-Entrepreneur_UpdateMasterDE</t>
  </si>
  <si>
    <t>Reporting-Facebook-UpdateMasterDE</t>
  </si>
  <si>
    <t>Segmentation-CPEGeneral</t>
  </si>
  <si>
    <t>Archives ContactPointEmail records into staging and master datasets, and generates daily record counts for tracking and reporting; overwrites and updates archive data extensions on each run.</t>
  </si>
  <si>
    <t>CVENT-EventsCampaignLinkage</t>
  </si>
  <si>
    <t>Builds a unified dataset linking Cvent event details with associated Salesforce campaigns, including metadata and ownership fields; overwrites CventEvents_Campaign_Linkage on each run.</t>
  </si>
  <si>
    <t>Reporting-AllianceMarketing_UpdateMasterDE</t>
  </si>
  <si>
    <t>Reporting-CCSTracker_UpdateMasterDE</t>
  </si>
  <si>
    <t>Reporting-IgnitionCenter-UpdateMasterDE</t>
  </si>
  <si>
    <t>Reporting-Onapsis_UpdateMasterDE</t>
  </si>
  <si>
    <t>FIELD NAME</t>
  </si>
  <si>
    <t>DESCRIPTION</t>
  </si>
  <si>
    <t>LOCATION</t>
  </si>
  <si>
    <t>DO NOT UPDATE</t>
  </si>
  <si>
    <t>Automation Home</t>
  </si>
  <si>
    <t>Today's Date</t>
  </si>
  <si>
    <t>Business Unit - PROD, DEV, etc</t>
  </si>
  <si>
    <t>Folder location in SFMC</t>
  </si>
  <si>
    <t>Automation Summary Tab</t>
  </si>
  <si>
    <t>Type of Filetype inside of SFMC</t>
  </si>
  <si>
    <t>AssetID (5 digit #)</t>
  </si>
  <si>
    <t>Published/Unpublished</t>
  </si>
  <si>
    <t>Created Date</t>
  </si>
  <si>
    <t>Automation Workflow Tab</t>
  </si>
  <si>
    <t>Schedule / Import / Trigger</t>
  </si>
  <si>
    <t>Automation Activity Tab</t>
  </si>
  <si>
    <t>Does the email list contain a Monitoring Distribution Email Address</t>
  </si>
  <si>
    <t>MapDEID</t>
  </si>
  <si>
    <t>ActType</t>
  </si>
  <si>
    <t>ActStep</t>
  </si>
  <si>
    <t>ActivityName</t>
  </si>
  <si>
    <t>DEName</t>
  </si>
  <si>
    <t>Q_LN</t>
  </si>
  <si>
    <t>MainActionType</t>
  </si>
  <si>
    <t>CodeSyntax</t>
  </si>
  <si>
    <t>ActionCode</t>
  </si>
  <si>
    <t>DEPurpose</t>
  </si>
  <si>
    <t>JoinTo</t>
  </si>
  <si>
    <t>JoinOn_S</t>
  </si>
  <si>
    <t>JoinOn_J</t>
  </si>
  <si>
    <t>1.1__Flip_Unsubscribe_To_Active_For_Lead__SQL</t>
  </si>
  <si>
    <t>Flip_All_Subscriber_Unsubscribe_to_Active</t>
  </si>
  <si>
    <t>DE</t>
  </si>
  <si>
    <t>TargetDE</t>
  </si>
  <si>
    <t>SQL</t>
  </si>
  <si>
    <t>Overwrite</t>
  </si>
  <si>
    <t>KPMG_Individual_Firm_Details__c_Salesforce_3</t>
  </si>
  <si>
    <t>SDE</t>
  </si>
  <si>
    <t>FROM</t>
  </si>
  <si>
    <t>PrimarySource</t>
  </si>
  <si>
    <t>ContactPointEmail_Salesforce_5</t>
  </si>
  <si>
    <t>Join</t>
  </si>
  <si>
    <t>JOIN</t>
  </si>
  <si>
    <t>KPMG_LeadId__c</t>
  </si>
  <si>
    <t>KPMG_Lead_Contact_Id__c</t>
  </si>
  <si>
    <t>_Subscribers</t>
  </si>
  <si>
    <t>DV</t>
  </si>
  <si>
    <t>EmailAddress</t>
  </si>
  <si>
    <t>2.1__Flip_Unsubscribe_To_Active_For_Contact__SQL</t>
  </si>
  <si>
    <t>Update</t>
  </si>
  <si>
    <t>KPMG_ContactId__c</t>
  </si>
  <si>
    <t>4.1__Final_Flip_All_Subscribers_To_Unsubscribe_To_Active__SQL</t>
  </si>
  <si>
    <t>Final_Flip_All_Subscriber_Unsubscribe_To_Active</t>
  </si>
  <si>
    <t>sQL</t>
  </si>
  <si>
    <t>8.1__
Optin_from_Unsubscribe_From_All_Preferences__SQL</t>
  </si>
  <si>
    <t>Remove_Optin_Records_From_UnsubscribeFromAllPreferences</t>
  </si>
  <si>
    <t>Unsubscribe_From_All_Preferences</t>
  </si>
  <si>
    <t>10.1__Remaining_OptIn_Records_From_Unsubscribe__SQL</t>
  </si>
  <si>
    <t>Remaining_Optin_Records_From_UnsubscribeFromAllPreferences</t>
  </si>
  <si>
    <t>11.1__Add_Sales_Cloud_Active_To_Audit_Preferences_For_Leads__SQL</t>
  </si>
  <si>
    <t>Audit_Preferences</t>
  </si>
  <si>
    <t>Append</t>
  </si>
  <si>
    <t>LEFT JOIN</t>
  </si>
  <si>
    <t>SalesforceID</t>
  </si>
  <si>
    <t>Lead_Salesforce_5</t>
  </si>
  <si>
    <t>Id</t>
  </si>
  <si>
    <t>12.1__Add_Sales_Cloud_Active_To_Audit_Preferences_For_Contacts__SQL</t>
  </si>
  <si>
    <t>Contact_Salesforce_5</t>
  </si>
  <si>
    <t>13.1__Add_Sales_Cloud_Active_To_Record_Keeper__SQL</t>
  </si>
  <si>
    <t>ConsentUpdates_Recordkeeper</t>
  </si>
  <si>
    <t>15.1__Flip_Active_To_Unsubscribe_For_Lead__SQL</t>
  </si>
  <si>
    <t>Preferences-Update_Unsubscribed_in_AllSubscribers</t>
  </si>
  <si>
    <t>16.1__Flip_Active_To_Unsubscribe_For_Contact__SQL</t>
  </si>
  <si>
    <t>17.1__Final_Preferences-Update_Unsubscribed_in_AllSubscribers__SQL</t>
  </si>
  <si>
    <t>Final_Preferences-Update_Unsubscribed_in_AllSubscribers</t>
  </si>
  <si>
    <t>21.1__Update_Opt_Out_To_Unsubscriber_Preferences_Email__SQL</t>
  </si>
  <si>
    <t>Unsubscriber_Preferences_Email</t>
  </si>
  <si>
    <t>Subscriber_Preferences_Email</t>
  </si>
  <si>
    <t>RIGHT JOIN</t>
  </si>
  <si>
    <t>MasterSendLog</t>
  </si>
  <si>
    <t>EmailAddr</t>
  </si>
  <si>
    <t>22.1__Add_Opt_Out_To_Audit_Preferences_From_Unsubscribe_Pref_Email__SQL</t>
  </si>
  <si>
    <t>23.1__Update_Opt_Out_To_Unsubscriber_From_All_Preferences__SQL</t>
  </si>
  <si>
    <t>24.1__Add_Opt_Out_To_Audit_Preferences_From_Unsubscribe_From_All_DE__SQL</t>
  </si>
  <si>
    <t>25.1__Add_Sales_Cloud_Unsubscribe_To_RecordKeeper_Unsub_Pref_Email_DE__SQL</t>
  </si>
  <si>
    <t>26.1__Add_Sales_Cloud_Unsubscribe_To_RecordKeeper_Unsub_From_All_DE__SQL</t>
  </si>
  <si>
    <t>27.1__SQL_Preferences-Remove_duplicates_With_Associated_Email__SQL</t>
  </si>
  <si>
    <t>Preferences-Update_Unsubscribed_in_AllSubscribers_With_Associated_Email</t>
  </si>
  <si>
    <t>30.1__
Consent-ExpiredUnsubscribeAllLinkClicks__SQL</t>
  </si>
  <si>
    <t xml:space="preserve">
ConsentUpdates-ExpiredUnsubscribeLinkClicks</t>
  </si>
  <si>
    <t>Consent_EmailOnlyUnsubscribeFormRequest</t>
  </si>
  <si>
    <t>34.1__Consent-UpdateProcessedData__SQL</t>
  </si>
  <si>
    <t>ConsentUpdates-ExpiredUnsubscribeLinkClicks</t>
  </si>
  <si>
    <t>35.1__UnsubscribedSubscribers__SQL</t>
  </si>
  <si>
    <t>UnsubscribedSubscribers</t>
  </si>
  <si>
    <t>37.1__Add_PrimaryEmailRecords_To_OptOut_From_Sales_Cloud__SQL</t>
  </si>
  <si>
    <t xml:space="preserve">
Unsubscribe_Record_From_Sales_Cloud</t>
  </si>
  <si>
    <t>Unsubscribe_Record</t>
  </si>
  <si>
    <t>source</t>
  </si>
  <si>
    <t>38.1__Update_Associated_Email_From_All_Subscribers__SQL</t>
  </si>
  <si>
    <t>Where In</t>
  </si>
  <si>
    <t>Salesforce_Id</t>
  </si>
  <si>
    <t>39.1__Unsubscribe_Associated_Email_From_All_Subscribers__SQL</t>
  </si>
  <si>
    <t>Unsubscribe_Record_W_AssociatedEmails</t>
  </si>
  <si>
    <t>SubscriberKey</t>
  </si>
  <si>
    <t>43.1__Update_PrimaryEmailRecords_From_Unsubscribe_Record__SQL</t>
  </si>
  <si>
    <t>update</t>
  </si>
  <si>
    <t>45.1__Update_Unsubscriber_Preferences_Email__SQL</t>
  </si>
  <si>
    <t>46.1__Add_Unsubscribe_To_Audit_Preferences_From_Unsubscribe_Pref_Email__SQL</t>
  </si>
  <si>
    <t>APPEND</t>
  </si>
  <si>
    <t>47.1__Update_Unsubscribe_From_All_Preferences__SQL</t>
  </si>
  <si>
    <t>48.1__Add_Unsubscribes_To_Audit_Preferences_From_Unsubscribe_From_All__SQL</t>
  </si>
  <si>
    <t>50.1__Add 1-Click_Unsubscribe_To_RecordKeeper__SQL</t>
  </si>
  <si>
    <t>SDR</t>
  </si>
  <si>
    <t>51.1__Consent_Status_Pending__SQL</t>
  </si>
  <si>
    <t>Consent_Status_Pending</t>
  </si>
  <si>
    <t>OVERWRITE</t>
  </si>
  <si>
    <t>INNER JOIN</t>
  </si>
  <si>
    <t>IdeaID</t>
  </si>
  <si>
    <t>Target Automation / Query Name</t>
  </si>
  <si>
    <t>Component Type</t>
  </si>
  <si>
    <t>Current Pain Point / Redundancy</t>
  </si>
  <si>
    <t>Proposed Optimization</t>
  </si>
  <si>
    <t>Estimated Value &amp; Business Impact</t>
  </si>
  <si>
    <t>Complexity</t>
  </si>
  <si>
    <t>Priority</t>
  </si>
  <si>
    <t>Proposed By</t>
  </si>
  <si>
    <t>Status</t>
  </si>
  <si>
    <t>OPT-001</t>
  </si>
  <si>
    <t>A09B__Consent-Consent Updates</t>
  </si>
  <si>
    <t>SQL Query</t>
  </si>
  <si>
    <t>Steps 11.1 and 12.1 append to Audit_Preferences sequentially.</t>
  </si>
  <si>
    <r>
      <t xml:space="preserve">Consolidate into a single SQL step utilizing a </t>
    </r>
    <r>
      <rPr>
        <i/>
        <sz val="12"/>
        <color rgb="FFFF0000"/>
        <rFont val="Google Sans Mono"/>
        <family val="3"/>
      </rPr>
      <t>UNION ALL</t>
    </r>
    <r>
      <rPr>
        <i/>
        <sz val="12"/>
        <color rgb="FFFF0000"/>
        <rFont val="Arial"/>
        <family val="2"/>
      </rPr>
      <t xml:space="preserve"> or left joins.</t>
    </r>
  </si>
  <si>
    <t>Reduces Automation Step count, lowers processing time by ~3 minutes.</t>
  </si>
  <si>
    <t>Low</t>
  </si>
  <si>
    <t>High</t>
  </si>
  <si>
    <t>Ajeet Singh</t>
  </si>
  <si>
    <t>Under Review</t>
  </si>
  <si>
    <t>OPT-002</t>
  </si>
  <si>
    <t>Script Activity</t>
  </si>
  <si>
    <t>Executes repetitive lookup API calls inside a loop.</t>
  </si>
  <si>
    <t>Refactor looping script to leverage unified Content Blocks or WSProxy.</t>
  </si>
  <si>
    <t>Reduces Salesforce API limits footprint and downstream timeouts.</t>
  </si>
  <si>
    <t>Medium</t>
  </si>
  <si>
    <t>Varsha Shelar</t>
  </si>
  <si>
    <t>Backlog</t>
  </si>
  <si>
    <t>ACTType</t>
  </si>
  <si>
    <t>ActID</t>
  </si>
  <si>
    <t>DataType</t>
  </si>
  <si>
    <t>DataTypeID</t>
  </si>
  <si>
    <t>Column1</t>
  </si>
  <si>
    <t>Salesforce Object</t>
  </si>
  <si>
    <t>OBJ</t>
  </si>
  <si>
    <t>FileDrop</t>
  </si>
  <si>
    <t>SCRIPT</t>
  </si>
  <si>
    <t>Data Extension</t>
  </si>
  <si>
    <t>Trigger</t>
  </si>
  <si>
    <t>EXTRACT</t>
  </si>
  <si>
    <t>WSProxy/API</t>
  </si>
  <si>
    <t>API</t>
  </si>
  <si>
    <t>SYSTEM</t>
  </si>
  <si>
    <t>Shared Data Extension</t>
  </si>
  <si>
    <t>TRANSFER</t>
  </si>
  <si>
    <t>IMPORT</t>
  </si>
  <si>
    <t>WAIT</t>
  </si>
  <si>
    <t>VERIF</t>
  </si>
  <si>
    <t>ActivityTitle</t>
  </si>
  <si>
    <t>Step</t>
  </si>
  <si>
    <t>ActName</t>
  </si>
  <si>
    <t>Annotations</t>
  </si>
  <si>
    <t>ActKey</t>
  </si>
  <si>
    <t>ActLocation</t>
  </si>
  <si>
    <t>ActDesc</t>
  </si>
  <si>
    <t>..</t>
  </si>
  <si>
    <t>DataAction</t>
  </si>
  <si>
    <t>FileName</t>
  </si>
  <si>
    <t>SFTPFolder</t>
  </si>
  <si>
    <t>AlertEmails2</t>
  </si>
  <si>
    <t>Flip_Unsubscribe_To_Active_For_Lead</t>
  </si>
  <si>
    <t>This query retrieves records of leads who have an Opt In or Opt In Pending consent status in Sales Cloud, ensuring that their consent capture date is more recent than their last unsubscribe activity.</t>
  </si>
  <si>
    <t>4E65F724-8F10-41E4-995E-E0A1B2FB4188</t>
  </si>
  <si>
    <t>Query/09. Preference/Preference-ConsentUpdates</t>
  </si>
  <si>
    <t>Flip_Unsubscribe_To_Active_For_Contact</t>
  </si>
  <si>
    <t>This query retrieves records of contacts who have Opt In or Opt In Pending consent status in Sales Cloud, ensuring that their consent capture date is more recent than their last unsubscribe activity.</t>
  </si>
  <si>
    <t>F1C78A7E-C45B-477C-9D16-7623EB1BAF51</t>
  </si>
  <si>
    <t>DeleteFromAutoSuppressionList</t>
  </si>
  <si>
    <t>Script</t>
  </si>
  <si>
    <t>Deletes email addresses from the Global Auto Suppression List when their Consent Status in Sales Cloud changes to Opt-In or Opt-In Pending.</t>
  </si>
  <si>
    <t>c3c1fad6-c526-4bfc-810d-244e80a4873e</t>
  </si>
  <si>
    <t>Scripts</t>
  </si>
  <si>
    <t>Global_Suppression_List</t>
  </si>
  <si>
    <t>Delete</t>
  </si>
  <si>
    <t>DE557EE5-8DD3-427F-8971-FECDA988830C</t>
  </si>
  <si>
    <t>Final_Flip_All_Subscribers_To_Unsubscribe_To_Active</t>
  </si>
  <si>
    <t>This query selects email addresses and subscriber keys from Flip_All_Subscriber_Unsubscribe_to_Active DE and labels each record with a static status of Active.</t>
  </si>
  <si>
    <t>B83D6529-E980-46F9-8D31-2356601FA751</t>
  </si>
  <si>
    <t>Final_Flip_All_Subscriber_Unsubscribe_to_Active</t>
  </si>
  <si>
    <t>DataExtract</t>
  </si>
  <si>
    <t>Extract records from Final_Flip_All_Subscriber_Unsubscribe_to_Active.</t>
  </si>
  <si>
    <t xml:space="preserve">
2BEFA88C-6031-40C4-AEBE-F6EBBA934167</t>
  </si>
  <si>
    <t>Extract records from Final_Flip_All_Subscriber_Unsubscribe_to_Active</t>
  </si>
  <si>
    <t>FILE</t>
  </si>
  <si>
    <t>Data Extension Extract</t>
  </si>
  <si>
    <t xml:space="preserve">
83E395BE-50BB-4774-9BA6-3D99B3DE3DAD</t>
  </si>
  <si>
    <t>Final_Flip_All_Subscriber_Unsubscribe_To_Active.csv</t>
  </si>
  <si>
    <t>Safehouse</t>
  </si>
  <si>
    <t>Final_Flip_All_Subscriber_Unsubscribe_to_Active _o _FTP</t>
  </si>
  <si>
    <t>FileTransfer</t>
  </si>
  <si>
    <t>FTP Final_Flip_All_Subscriber_Unsubscribe_to_Active.csv file transfer</t>
  </si>
  <si>
    <t>5b3abdae-fa3c-466f-8da6-7a34e32a212d</t>
  </si>
  <si>
    <t>Move a File From Safehouse</t>
  </si>
  <si>
    <t xml:space="preserve">
Final_Flip_All_Subscriber_Unsubscribe_To_Active.csv</t>
  </si>
  <si>
    <t>KPMG SFTP Outgoing</t>
  </si>
  <si>
    <t>DataImport</t>
  </si>
  <si>
    <t>Importing records to destination from ftp in All Subscribers List.</t>
  </si>
  <si>
    <t>16CA12A3-35CA-4103-9C8F-5CA92BE289BB</t>
  </si>
  <si>
    <t>Importing records to destination from ftp.</t>
  </si>
  <si>
    <t>"All Subscribers" (Subscriber List)</t>
  </si>
  <si>
    <t>Import_Update Only</t>
  </si>
  <si>
    <t>NONE</t>
  </si>
  <si>
    <t xml:space="preserve">
Optin_from_Unsubscribe_From_All_Preferences</t>
  </si>
  <si>
    <t>Populate the Optin Records from Unsubscribe_From_All_Preferences DE</t>
  </si>
  <si>
    <t>E10E206B-7F45-4092-80DD-D5BEC1E82CED</t>
  </si>
  <si>
    <t>Delete_Optin_UnsubAll</t>
  </si>
  <si>
    <t>Delete the records from Unsubscribe_From_All_Preferences DE</t>
  </si>
  <si>
    <t>ec56d06d-55c0-4f9e-bdeb-4bdde2448ed4</t>
  </si>
  <si>
    <t>Scripts/09. Preference/Consent Updates</t>
  </si>
  <si>
    <t>Delete/Update</t>
  </si>
  <si>
    <t>04F6B6B9-48F0-4DC9-B69C-C434A0ABC33F</t>
  </si>
  <si>
    <t>Remaining_OptIn_Records_From_Unsubscribe</t>
  </si>
  <si>
    <t>9DBA23DE-D0EE-4492-9E98-FF6E31722933</t>
  </si>
  <si>
    <t>Query/09. Preference</t>
  </si>
  <si>
    <t>Add_Sales_Cloud_Active_To_Audit_Preferences_For_Leads</t>
  </si>
  <si>
    <t>This query adds records of leads who opt in via Sales Cloud to the Audit_Preferences DE.</t>
  </si>
  <si>
    <t xml:space="preserve">
1BD881AD-854D-496B-977B-18FE23DF8D40</t>
  </si>
  <si>
    <t>Add_Sales_Cloud_Active_To_Audit_Preferences_For_Contacts</t>
  </si>
  <si>
    <t>This query adds records of contacts who opt in via Sales Cloud to the Audit_Preferences DE.</t>
  </si>
  <si>
    <t>3F83A884-CDA2-475B-9807-0503D877980E</t>
  </si>
  <si>
    <t>Add_Sales_Cloud_Active_To_Record_Keeper</t>
  </si>
  <si>
    <t>This query adds records of subscribers who opt in via Sales Cloud to the ConsentUpdates_Recordkeeper DE</t>
  </si>
  <si>
    <t>C7E06ED8-0E17-44E3-AC44-5B26C3825C90</t>
  </si>
  <si>
    <t xml:space="preserve">
Query/09. Preference/Preference-ConsentUpdates</t>
  </si>
  <si>
    <t xml:space="preserve">
This query adds records of subscribers who opt in via Sales Cloud to the ConsentUpdates_Recordkeeper DE</t>
  </si>
  <si>
    <t>WAIT - 5 MIN</t>
  </si>
  <si>
    <t>Flip_Active_To_Unsubscribe_For_Lead</t>
  </si>
  <si>
    <t>This query retrieves records of leads who have an Opt Out consent status in Sales Cloud, ensuring that their consent capture date is not null.</t>
  </si>
  <si>
    <t>D8D21A53-D37E-4F40-9F4B-321E80FDFA52</t>
  </si>
  <si>
    <t>Flip_Active_To_Unsubscribe_For_Contact</t>
  </si>
  <si>
    <t>This query retrieves records of contacts who have Opt Out consent status in Sales Cloud, ensuring that their consent capture date is not null.</t>
  </si>
  <si>
    <t xml:space="preserve">
52F4B4BD-F015-465E-8481-DA0792C0137F</t>
  </si>
  <si>
    <t xml:space="preserve">
Preferences-Update_Unsubscribed_in_AllSubscribers</t>
  </si>
  <si>
    <t>This query selects email addresses and subscriber keys from Preferences-Update_Unsubscribed_in_AllSubscribers DE and labels each record with a static status of Unsubscribed.</t>
  </si>
  <si>
    <t>BBAEDF08-769E-43D5-BEF8-C905C1D65F85</t>
  </si>
  <si>
    <t>Unsubscribed_in_AllSubscribers_DataExtract</t>
  </si>
  <si>
    <t>Extracts records from Preferences-Final_Preferences-Update_Unsubscribed_in_AllSubscribers Data Extension</t>
  </si>
  <si>
    <t xml:space="preserve">
F4F6C89B-018A-4FE8-A8EE-CE48D66BECA6</t>
  </si>
  <si>
    <t>Extracts records from Preferences-Update_Unsubscribed_in_AllSubscribers Data Extension</t>
  </si>
  <si>
    <t xml:space="preserve">
Data Extension Extract</t>
  </si>
  <si>
    <t>322F755E-7A2E-4E11-A7E6-7284A1469F26</t>
  </si>
  <si>
    <t>Active_to_Unsubscribed_in_AllSubscribers.csv</t>
  </si>
  <si>
    <t>Unsubscribed_in_AllSubscribers_MoveFile_to_FTP</t>
  </si>
  <si>
    <t>FTP Active_to_Unsubscribed_in_AllSubscribers.csv file transfer</t>
  </si>
  <si>
    <t>11677ca4-d1cc-4868-bcd9-07ad640d8104</t>
  </si>
  <si>
    <t>Moves the exported file to FTP</t>
  </si>
  <si>
    <t>Unsubscribed_in_AllSubscribers_ImportFile</t>
  </si>
  <si>
    <t xml:space="preserve">
7103A7AF-8E17-42ED-BC57-6C705164E92B</t>
  </si>
  <si>
    <t xml:space="preserve">
Update Only</t>
  </si>
  <si>
    <t>Update_Opt_Out_To_Unsubscriber_Preferences_Email</t>
  </si>
  <si>
    <t>This query updates unenrolled preferences of subscribers that occurred by Sales Cloud into Unsubscriber_Preferences_Email DE.</t>
  </si>
  <si>
    <t>4810D57E-7A35-42D5-B672-DE4E6C9EC9CC</t>
  </si>
  <si>
    <t>Add_Opt_Out_To_Audit_Preferences_From_Unsubscribe_Pref_Email</t>
  </si>
  <si>
    <t>This query adds records of subscribers who unsubscribed via Sales Cloud from Unsubscriber_Preferences_Email DE to the Audit_Preferences DE.</t>
  </si>
  <si>
    <t>0A265514-2D44-40E7-B316-7B04F006981F</t>
  </si>
  <si>
    <t xml:space="preserve">
This query adds records of subscribers who unsubscribed via Sales Cloud from Unsubscriber_Preferences_Email DE to the Audit_Preferences DE.</t>
  </si>
  <si>
    <t>Update_Opt_Out_To_Unsubscriber_From_All_Preferences</t>
  </si>
  <si>
    <t>This query updates unenrolled preferences of subscribers that occurred by Sales Cloud into Unsubscribe_From_All_Preferences DE.</t>
  </si>
  <si>
    <t>06024A4D-34D1-4B70-A6D1-943D3D06B87D</t>
  </si>
  <si>
    <t>Add_Opt_Out_To_Audit_Preferences_From_Unsubscribe_From_All_DE</t>
  </si>
  <si>
    <t>This query adds records of subscribers who unsubscribed via Sales Cloud from Unsubscribe_From_All_Preferences DE to the Audit_Preferences DE.</t>
  </si>
  <si>
    <t xml:space="preserve">
9F618F92-2DD9-4D11-B114-8922D8FC187A</t>
  </si>
  <si>
    <t>Add_Sales_Cloud_Unsubscribe_To_RecordKeeper_Unsub_Pref_Email_DE</t>
  </si>
  <si>
    <t>This query adds records of subscribers who unsubscribed via Sales Cloud for Unsub Pref Email DE to the ConsentUpdates_Recordkeeper DE</t>
  </si>
  <si>
    <t>42B755B7-3702-4E7F-8D5D-8905219BD70C</t>
  </si>
  <si>
    <t xml:space="preserve">
This query adds records of subscribers who unsubscribed via Sales Cloud for Unsub Pref Email DE to the ConsentUpdates_Recordkeeper DE</t>
  </si>
  <si>
    <t>Add_Sales_Cloud_Unsubscribe_To_RecordKeeper_Unsub_From_All_DE</t>
  </si>
  <si>
    <t>This query adds records of subscribers who unsubscribed via Sales Cloud for Unsub From All DE to the ConsentUpdates_Recordkeeper DE</t>
  </si>
  <si>
    <t>80979785-E598-4E72-BD9B-EFA5BC7FC978</t>
  </si>
  <si>
    <t xml:space="preserve">
This query adds records of subscribers who unsubscribed via Sales Cloud for Unsub From All DE to the ConsentUpdates_Recordkeeper DE</t>
  </si>
  <si>
    <t>SQL_Preferences-Remove_duplicates_With_Associated_Email</t>
  </si>
  <si>
    <t>Removes duplicates from the Preferences-Update_Unsubscribed_in_AllSubscribers DE With_Associated_Email</t>
  </si>
  <si>
    <t xml:space="preserve">
C98C0129-8246-4F59-A96A-2C415E4A8874</t>
  </si>
  <si>
    <t>Removes duplicates from the staging DE With_Associated_Email</t>
  </si>
  <si>
    <t>Flip_active_to_unsub_remove_from_Subscriber_PreferencesEmail</t>
  </si>
  <si>
    <t>This script deletes records from the Subscriber_Preferences_Email DE for matching unsubscribe records and logs any errors in Consent_Updates_Error_Log for review.</t>
  </si>
  <si>
    <t xml:space="preserve">
e986e7a7-3791-46c5-ac2f-f2cfce41ecc3</t>
  </si>
  <si>
    <t xml:space="preserve">
Consent-ExpiredUnsubscribeAllLinkClicks</t>
  </si>
  <si>
    <t>E5BD853B-68E7-4090-91DC-3EE1717847D8</t>
  </si>
  <si>
    <t>Query</t>
  </si>
  <si>
    <t xml:space="preserve">
ConsentUpdates-ExpiredUnsubscribeLinkClicks_DataExtract</t>
  </si>
  <si>
    <t>A21D0D9E-0041-40F9-AB99-1E4F52D0945F</t>
  </si>
  <si>
    <t xml:space="preserve">	This extract pulls the data ConsentUpdates-ExpiredUnsubscribeLinkClicks into FTP for reimport into SFMC to update all subscribers status</t>
  </si>
  <si>
    <t xml:space="preserve">
ConsentUpdates-ExpiredUnsubscribeLinkClicks.csv</t>
  </si>
  <si>
    <t>ConsentUpdates-ExpiredUnsubscribeLinkClicks_SubscriberImport</t>
  </si>
  <si>
    <t>0837857b-56d9-406f-9c36-77368a02315f</t>
  </si>
  <si>
    <t>This file transfer pulls the data ConsentUpdates-ExpiredUnsubscribeLinkClicks into FTP for reimport into SFMC to update all subscribers status</t>
  </si>
  <si>
    <t>Enhanced FTP Site Import Directory</t>
  </si>
  <si>
    <t>A702EDCE-DC93-4DB8-9ECB-538D3BC05534</t>
  </si>
  <si>
    <t>This import pulls the data ConsentUpdates-ExpiredUnsubscribeLinkClicks into All Subscribers for reimport into SFMC to update all subscribers status fo...</t>
  </si>
  <si>
    <t xml:space="preserve">
Add and Update</t>
  </si>
  <si>
    <t xml:space="preserve">
gavinclark@kpmg.com</t>
  </si>
  <si>
    <t>Consent-UpdateProcessedData</t>
  </si>
  <si>
    <t>7C397CFA-9CBF-4545-9B29-C993282A68C1</t>
  </si>
  <si>
    <t>Retrieves unsubscribed status from all subscribers.</t>
  </si>
  <si>
    <t>1D76CB5A-FA31-4B3D-A8A1-4A0C36849DB5</t>
  </si>
  <si>
    <t>RealTimeIFDConsentStatus</t>
  </si>
  <si>
    <t>Retrieves real time consent update from sales cloud</t>
  </si>
  <si>
    <t xml:space="preserve">
fcea9317-1710-4d6f-94ff-d9b229318b74</t>
  </si>
  <si>
    <t>Add_PrimaryEmailRecords_To_OptOut_From_Sales_Cloud</t>
  </si>
  <si>
    <t>This query retrieves primary email unsubscribe records from Unsubscribe_Record to opt out from sales cloud.</t>
  </si>
  <si>
    <t>204DEA2F-D324-44D4-89CB-88D150A4083C</t>
  </si>
  <si>
    <t>Update_Associated_Email_From_All_Subscribers</t>
  </si>
  <si>
    <t>This query retrieves the most recent subscriber records for all email addresses associated with leads or contacts who have unsubscribed through the 1-click header.</t>
  </si>
  <si>
    <t>06767661-847B-48E8-B024-E2CCAA5E251A</t>
  </si>
  <si>
    <t>Unsubscribe_Associated_Email_From_All_Subscribers</t>
  </si>
  <si>
    <t>This query fetches records associated with primary email based on SubscriberKey field from Unsubscribe_Record where the corresponding subscriber is currently marked as Active in the _Subscribers.</t>
  </si>
  <si>
    <t>4D5ACEBD-FFFE-4C5B-85EA-56769D4BA89C</t>
  </si>
  <si>
    <t>Extract records from Unsubscribe_Record_W_AssociatedEmails.</t>
  </si>
  <si>
    <t>DC0A5BCC-33E6-46DD-8240-0C7AF547C614</t>
  </si>
  <si>
    <t>Extract records from Unsubscribe_Record_W_AssociatedEmails</t>
  </si>
  <si>
    <t>B0236042-6C31-4DDA-AD80-5F5B90C412F3</t>
  </si>
  <si>
    <t>Unsubscribe_Record_W_AssociatedEmails.csv</t>
  </si>
  <si>
    <t>FTP Unsubscribe_Record_W_AssociatedEmails.csv file transfer</t>
  </si>
  <si>
    <t xml:space="preserve">
c1a86b2e-08c3-4072-845f-e64c8e001f75</t>
  </si>
  <si>
    <t xml:space="preserve">
KPMG SFTP Outgoing</t>
  </si>
  <si>
    <t>287E0F0D-AD94-4D36-8885-FF32203EAAE9</t>
  </si>
  <si>
    <t xml:space="preserve">Importing records to destination from ftp in All Subscribers List.
</t>
  </si>
  <si>
    <t>Update_PrimaryEmailRecords_From_Unsubscribe_Record</t>
  </si>
  <si>
    <t>This query retrieves primary email unsubscribe records from Unsubscribe_Record that are not already included in Unsubscribe_Record_W_AssociatedEmails</t>
  </si>
  <si>
    <t>1E5C54FB-7471-4204-A108-F1BFA0A99AE9</t>
  </si>
  <si>
    <t>1_Click_Unsubscribe_IFD_OptintoOptOut</t>
  </si>
  <si>
    <t>This script updates the Individual Firm Details consent status in Salesforce to Opt Out for matching unsubscribe records and logs any errors in Consent_Updates_Error_Log for review.</t>
  </si>
  <si>
    <t>185c18e8-b8d3-49b8-aac4-37545d70d893</t>
  </si>
  <si>
    <t>B147A6B0-AC80-4799-94A6-E2E695C61C4F</t>
  </si>
  <si>
    <t>Update_Unsubscriber_Preferences_Email</t>
  </si>
  <si>
    <t>This query updates unenrolled preferences of subscribers that occurred by one-click unsubscribe into Unsubscriber_Preferences_Email DE.</t>
  </si>
  <si>
    <t>F182CAD5-FA0A-4BCA-BCFA-B4CB715A2BC1</t>
  </si>
  <si>
    <t>Add_Unsubscribe_To_Audit_Preferences_From_Unsubscribe_Pref_Email</t>
  </si>
  <si>
    <t>This query adds records of subscribers who unsubscribed via 1-Click from Unsubscriber_Preferences_Email DE to the Audit_Preferences DE.</t>
  </si>
  <si>
    <t>7F34E1C0-B321-442D-A5A4-9BBA27D79798</t>
  </si>
  <si>
    <t>Adds 1-Click unsubscribed subscribers' records to Audit_Preferences DE from Unsubscriber_Preferences_Email DE.</t>
  </si>
  <si>
    <t>Update_Unsubscribe_From_All_Preferences</t>
  </si>
  <si>
    <t>This query updates unenrolled preferences of subscribers that occurred by one-click unsubscribe into Unsubscribe_From_All_Preferences DE.</t>
  </si>
  <si>
    <t>945DBF72-8252-4DEF-8D62-AF8F6E3A13BD</t>
  </si>
  <si>
    <t xml:space="preserve">
This query updates unenrolled preferences of subscribers that occurred by one-click unsubscribe into Unsubscribe_From_All_Preferences DE</t>
  </si>
  <si>
    <t>Add_Unsubscribes_To_Audit_Preferences_From_Unsubscribe_From_All</t>
  </si>
  <si>
    <t>This query adds records of subscribers who unsubscribed via 1-Click from Unsubscribe_From_All_Preferences DE to the Audit_Preferences DE.</t>
  </si>
  <si>
    <t>ABE18024-58CA-4770-9612-31A7AD103D92</t>
  </si>
  <si>
    <t>Add Unsubscribes To Audit Preferences From Unsubscribe From All Preferences DE</t>
  </si>
  <si>
    <t xml:space="preserve">
1_Click_Unsubscribe_Remove_From_Subscriber_Preferences_Email_DE</t>
  </si>
  <si>
    <t>282f1432-c648-4b4d-9a7d-99dc1cdb9a80</t>
  </si>
  <si>
    <t xml:space="preserve">
This script deletes records from the Subscriber_Preferences_Email DE for matching unsubscribe records and logs any errors in Consent_Updates_Error_Log for review.</t>
  </si>
  <si>
    <t>03413CED-7F36-405A-A007-BFE677AA48F2</t>
  </si>
  <si>
    <t>Add 1-Click_Unsubscribe_To_RecordKeeper</t>
  </si>
  <si>
    <t>This query adds records of subscribers who unsubscribed via 1-Click from Unsubscribe_Record_W_AssociatedEmails to the ConsentUpdates_Recordkeeper DE</t>
  </si>
  <si>
    <t>726F43D9-33B0-47ED-B231-C37227C2ABC0</t>
  </si>
  <si>
    <t>02CE97EB-5E2C-4776-BA1D-BB55915D9A96</t>
  </si>
  <si>
    <t>Consent_Status_Update</t>
  </si>
  <si>
    <t xml:space="preserve">	a8301dc6-7129-48f4-bb1e-a8d9919e215b</t>
  </si>
  <si>
    <t xml:space="preserve">
a8301dc6-7129-48f4-bb1e-a8d9919e215b</t>
  </si>
  <si>
    <t>KPMG_Individual_Firm_Details__c</t>
  </si>
  <si>
    <t>VERIF - Remaining_Optin_Records_From_UnsubscribeFromAllPreferences</t>
  </si>
  <si>
    <t>ALERT</t>
  </si>
  <si>
    <t>rnandini@kpmg.com varshashelar@kpmg.com ajeetsingh3@kpmg.com rcordingley@KPMG.com anirudhganeshbharadw@KPMG.com</t>
  </si>
  <si>
    <t>2026-10-01</t>
  </si>
  <si>
    <t>my automations/20. Audit Trail Logs/B. Daily</t>
  </si>
  <si>
    <t>9850422e-a11d-425d-081e-5c7440a197c5</t>
  </si>
  <si>
    <t>2026-06-26</t>
  </si>
  <si>
    <t>Every 1 day</t>
  </si>
  <si>
    <t>0%</t>
  </si>
  <si>
    <t>58s</t>
  </si>
  <si>
    <t>2026-10-15 21:45:00</t>
  </si>
  <si>
    <t>Complete</t>
  </si>
  <si>
    <t>2026-10-18 21:45:00</t>
  </si>
  <si>
    <t>2026-06-26 13:41:00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</si>
</sst>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
  </numFmts>
  <fonts count="3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color rgb="FF16325C"/>
      <name val="Salesforce Sans"/>
      <charset val="1"/>
    </font>
    <font>
      <sz val="9"/>
      <color rgb="FF54698D"/>
      <name val="Salesforce Sans"/>
      <charset val="1"/>
    </font>
    <font>
      <b/>
      <sz val="11"/>
      <color rgb="FF000000"/>
      <name val="Aptos Narrow"/>
      <family val="2"/>
      <scheme val="minor"/>
    </font>
    <font>
      <sz val="11"/>
      <color rgb="FF000000"/>
      <name val="Aptos Narrow"/>
      <family val="2"/>
      <scheme val="minor"/>
    </font>
    <font>
      <sz val="11"/>
      <color rgb="FF16325C"/>
      <name val="Salesforce Sans"/>
      <charset val="1"/>
    </font>
    <font>
      <sz val="11"/>
      <color rgb="FF000000"/>
      <name val="Aptos Narrow"/>
      <family val="2"/>
    </font>
    <font>
      <sz val="8"/>
      <color rgb="FF000000"/>
      <name val="Salesforce Sans"/>
      <charset val="1"/>
    </font>
    <font>
      <sz val="8"/>
      <color rgb="FFFF0000"/>
      <name val="Salesforce Sans"/>
      <charset val="1"/>
    </font>
    <font>
      <i/>
      <sz val="12"/>
      <color rgb="FFFF0000"/>
      <name val="Google Sans Mono"/>
      <family val="3"/>
    </font>
    <font>
      <i/>
      <sz val="12"/>
      <color rgb="FFFF0000"/>
      <name val="Arial"/>
      <family val="2"/>
    </font>
    <font>
      <sz val="8"/>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0.499984740745262"/>
        <bgColor indexed="64"/>
      </patternFill>
    </fill>
    <fill>
      <patternFill patternType="solid">
        <fgColor rgb="FFF4F6F9"/>
        <bgColor indexed="64"/>
      </patternFill>
    </fill>
    <fill>
      <patternFill patternType="solid">
        <fgColor theme="2" tint="-9.9978637043366805E-2"/>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6">
    <xf numFmtId="0" fontId="0" fillId="0" borderId="0" xfId="0"/>
    <xf numFmtId="14" fontId="0" fillId="0" borderId="0" xfId="0" applyNumberFormat="1"/>
    <xf numFmtId="164" fontId="0" fillId="0" borderId="0" xfId="0" applyNumberFormat="1"/>
    <xf numFmtId="16" fontId="0" fillId="0" borderId="0" xfId="0" applyNumberFormat="1"/>
    <xf numFmtId="0" fontId="18" fillId="0" borderId="0" xfId="42"/>
    <xf numFmtId="0" fontId="0" fillId="0" borderId="0" xfId="0" applyAlignment="1">
      <alignment horizontal="center"/>
    </xf>
    <xf numFmtId="0" fontId="16" fillId="33" borderId="0" xfId="0" applyFont="1" applyFill="1"/>
    <xf numFmtId="164" fontId="16" fillId="33" borderId="0" xfId="0" applyNumberFormat="1" applyFont="1" applyFill="1"/>
    <xf numFmtId="0" fontId="16" fillId="33" borderId="0" xfId="0" applyFont="1" applyFill="1" applyAlignment="1">
      <alignment horizontal="center"/>
    </xf>
    <xf numFmtId="0" fontId="0" fillId="33" borderId="0" xfId="0" applyFill="1"/>
    <xf numFmtId="0" fontId="13" fillId="34" borderId="0" xfId="0" applyFont="1" applyFill="1"/>
    <xf numFmtId="0" fontId="0" fillId="34" borderId="0" xfId="0" applyFill="1"/>
    <xf numFmtId="22" fontId="0" fillId="0" borderId="0" xfId="0" applyNumberFormat="1"/>
    <xf numFmtId="0" fontId="18" fillId="0" borderId="0" xfId="42" applyFill="1" applyBorder="1"/>
    <xf numFmtId="0" fontId="19" fillId="0" borderId="0" xfId="0" applyFont="1"/>
    <xf numFmtId="0" fontId="13" fillId="34" borderId="10" xfId="0" applyFont="1" applyFill="1" applyBorder="1"/>
    <xf numFmtId="0" fontId="19" fillId="0" borderId="0" xfId="0" applyFont="1" applyAlignment="1">
      <alignment wrapText="1"/>
    </xf>
    <xf numFmtId="0" fontId="13" fillId="33" borderId="11" xfId="0" applyFont="1" applyFill="1" applyBorder="1"/>
    <xf numFmtId="0" fontId="19" fillId="35" borderId="0" xfId="0" applyFont="1" applyFill="1"/>
    <xf numFmtId="0" fontId="21" fillId="33" borderId="0" xfId="0" applyFont="1" applyFill="1" applyAlignment="1">
      <alignment horizontal="center"/>
    </xf>
    <xf numFmtId="1" fontId="21" fillId="33" borderId="0" xfId="0" applyNumberFormat="1" applyFont="1" applyFill="1" applyAlignment="1">
      <alignment horizontal="center"/>
    </xf>
    <xf numFmtId="0" fontId="0" fillId="0" borderId="0" xfId="0" applyAlignment="1">
      <alignment wrapText="1"/>
    </xf>
    <xf numFmtId="165" fontId="0" fillId="0" borderId="0" xfId="0" applyNumberFormat="1"/>
    <xf numFmtId="0" fontId="20" fillId="0" borderId="0" xfId="0" applyFont="1"/>
    <xf numFmtId="0" fontId="23" fillId="0" borderId="0" xfId="0" applyFont="1"/>
    <xf numFmtId="0" fontId="18" fillId="0" borderId="0" xfId="42" applyAlignment="1"/>
    <xf numFmtId="0" fontId="24" fillId="0" borderId="0" xfId="0" applyFont="1"/>
    <xf numFmtId="0" fontId="21" fillId="33" borderId="0" xfId="0" applyFont="1" applyFill="1"/>
    <xf numFmtId="165" fontId="21" fillId="33" borderId="0" xfId="0" applyNumberFormat="1" applyFont="1" applyFill="1"/>
    <xf numFmtId="164" fontId="21" fillId="33" borderId="0" xfId="0" applyNumberFormat="1" applyFont="1" applyFill="1"/>
    <xf numFmtId="0" fontId="22" fillId="33" borderId="0" xfId="0" applyFont="1" applyFill="1"/>
    <xf numFmtId="0" fontId="22" fillId="0" borderId="0" xfId="0" applyFont="1"/>
    <xf numFmtId="165" fontId="16" fillId="0" borderId="0" xfId="0" applyNumberFormat="1" applyFont="1"/>
    <xf numFmtId="0" fontId="25" fillId="0" borderId="0" xfId="0" applyFont="1"/>
    <xf numFmtId="0" fontId="25" fillId="0" borderId="0" xfId="0" applyFont="1" applyAlignment="1">
      <alignment horizontal="center"/>
    </xf>
    <xf numFmtId="0" fontId="21" fillId="36" borderId="0" xfId="0" applyFont="1" applyFill="1"/>
    <xf numFmtId="0" fontId="19" fillId="36" borderId="0" xfId="0" applyFont="1" applyFill="1"/>
    <xf numFmtId="0" fontId="0" fillId="36" borderId="0" xfId="0" applyFill="1"/>
    <xf numFmtId="0" fontId="13" fillId="36" borderId="0" xfId="0" applyFont="1" applyFill="1"/>
    <xf numFmtId="0" fontId="13" fillId="37" borderId="0" xfId="0" applyFont="1" applyFill="1"/>
    <xf numFmtId="0" fontId="0" fillId="37" borderId="0" xfId="0" applyFill="1"/>
    <xf numFmtId="0" fontId="26" fillId="0" borderId="0" xfId="0" applyFont="1"/>
    <xf numFmtId="0" fontId="18" fillId="0" borderId="0" xfId="42" applyFill="1"/>
    <xf numFmtId="164" fontId="16" fillId="33" borderId="0" xfId="0" applyNumberFormat="1" applyFont="1" applyFill="1" applyAlignment="1">
      <alignment horizontal="left"/>
    </xf>
    <xf numFmtId="0" fontId="25" fillId="0" borderId="0" xfId="0" applyFont="1" applyAlignment="1">
      <alignment horizontal="left"/>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alignment wrapText="0"/>
    </dxf>
    <dxf>
      <alignment wrapText="0"/>
    </dxf>
    <dxf>
      <alignment wrapText="0"/>
    </dxf>
    <dxf>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alignment wrapText="0"/>
    </dxf>
    <dxf>
      <font>
        <b val="0"/>
        <i val="0"/>
        <strike val="0"/>
        <condense val="0"/>
        <extend val="0"/>
        <outline val="0"/>
        <shadow val="0"/>
        <u val="none"/>
        <vertAlign val="baseline"/>
        <sz val="8"/>
        <color rgb="FF16325C"/>
        <name val="Salesforce Sans"/>
        <charset val="1"/>
        <scheme val="none"/>
      </font>
      <numFmt numFmtId="0" formatCode="General"/>
      <alignment wrapText="0"/>
    </dxf>
    <dxf>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alignment wrapText="0"/>
    </dxf>
    <dxf>
      <font>
        <b val="0"/>
        <i val="0"/>
        <strike val="0"/>
        <condense val="0"/>
        <extend val="0"/>
        <outline val="0"/>
        <shadow val="0"/>
        <u val="none"/>
        <vertAlign val="baseline"/>
        <sz val="8"/>
        <color rgb="FF16325C"/>
        <name val="Salesforce Sans"/>
        <charset val="1"/>
        <scheme val="none"/>
      </font>
      <alignment wrapText="0"/>
    </dxf>
    <dxf>
      <font>
        <b val="0"/>
        <i val="0"/>
        <strike val="0"/>
        <condense val="0"/>
        <extend val="0"/>
        <outline val="0"/>
        <shadow val="0"/>
        <u val="none"/>
        <vertAlign val="baseline"/>
        <sz val="8"/>
        <color rgb="FF16325C"/>
        <name val="Salesforce Sans"/>
        <charset val="1"/>
        <scheme val="none"/>
      </font>
      <numFmt numFmtId="165" formatCode="##00.0"/>
      <fill>
        <patternFill patternType="solid">
          <fgColor indexed="64"/>
          <bgColor theme="2" tint="-9.9978637043366805E-2"/>
        </patternFill>
      </fill>
    </dxf>
    <dxf>
      <numFmt numFmtId="165" formatCode="##00.0"/>
      <alignment wrapText="0"/>
    </dxf>
    <dxf>
      <numFmt numFmtId="0" formatCode="General"/>
      <fill>
        <patternFill patternType="solid">
          <fgColor indexed="64"/>
          <bgColor theme="2" tint="-9.9978637043366805E-2"/>
        </patternFill>
      </fill>
      <alignment wrapText="0"/>
    </dxf>
    <dxf>
      <fill>
        <patternFill patternType="solid">
          <fgColor indexed="64"/>
          <bgColor theme="2" tint="-9.9978637043366805E-2"/>
        </patternFill>
      </fill>
      <alignment wrapText="0"/>
    </dxf>
    <dxf>
      <alignment wrapText="0"/>
    </dxf>
    <dxf>
      <font>
        <b/>
        <i val="0"/>
        <strike val="0"/>
        <condense val="0"/>
        <extend val="0"/>
        <outline val="0"/>
        <shadow val="0"/>
        <u val="none"/>
        <vertAlign val="baseline"/>
        <sz val="11"/>
        <color rgb="FF000000"/>
        <name val="Aptos Narrow"/>
        <family val="2"/>
        <scheme val="minor"/>
      </font>
      <fill>
        <patternFill patternType="solid">
          <fgColor indexed="64"/>
          <bgColor theme="3" tint="0.749992370372631"/>
        </patternFill>
      </fill>
      <alignment wrapText="0"/>
    </dxf>
    <dxf>
      <fill>
        <patternFill patternType="none">
          <fgColor indexed="64"/>
          <bgColor indexed="65"/>
        </patternFill>
      </fill>
    </dxf>
    <dxf>
      <fill>
        <patternFill patternType="none">
          <fgColor indexed="64"/>
          <bgColor indexed="65"/>
        </patternFill>
      </fill>
    </dxf>
    <dxf>
      <fill>
        <patternFill patternType="solid">
          <fgColor indexed="64"/>
          <bgColor theme="0" tint="-0.14999847407452621"/>
        </patternFill>
      </fill>
    </dxf>
    <dxf>
      <fill>
        <patternFill patternType="solid">
          <fgColor indexed="64"/>
          <bgColor theme="0" tint="-0.14999847407452621"/>
        </patternFill>
      </fill>
    </dxf>
    <dxf>
      <font>
        <b/>
        <i val="0"/>
        <strike val="0"/>
        <condense val="0"/>
        <extend val="0"/>
        <outline val="0"/>
        <shadow val="0"/>
        <u val="none"/>
        <vertAlign val="baseline"/>
        <sz val="11"/>
        <color theme="0"/>
        <name val="Aptos Narrow"/>
        <family val="2"/>
        <scheme val="minor"/>
      </font>
      <fill>
        <patternFill patternType="solid">
          <fgColor indexed="64"/>
          <bgColor theme="3" tint="0.499984740745262"/>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27</xdr:row>
      <xdr:rowOff>142875</xdr:rowOff>
    </xdr:from>
    <xdr:to>
      <xdr:col>5</xdr:col>
      <xdr:colOff>85725</xdr:colOff>
      <xdr:row>46</xdr:row>
      <xdr:rowOff>180975</xdr:rowOff>
    </xdr:to>
    <xdr:pic>
      <xdr:nvPicPr>
        <xdr:cNvPr id="2" name="Picture 1">
          <a:extLst>
            <a:ext uri="{FF2B5EF4-FFF2-40B4-BE49-F238E27FC236}">
              <a16:creationId xmlns:a16="http://schemas.microsoft.com/office/drawing/2014/main" id="{4062CF68-4715-DD5E-D8CC-F6BA550478E5}"/>
            </a:ext>
          </a:extLst>
        </xdr:cNvPr>
        <xdr:cNvPicPr>
          <a:picLocks noChangeAspect="1"/>
        </xdr:cNvPicPr>
      </xdr:nvPicPr>
      <xdr:blipFill>
        <a:blip xmlns:r="http://schemas.openxmlformats.org/officeDocument/2006/relationships" r:embed="rId1"/>
        <a:stretch>
          <a:fillRect/>
        </a:stretch>
      </xdr:blipFill>
      <xdr:spPr>
        <a:xfrm>
          <a:off x="9525" y="6057900"/>
          <a:ext cx="9334500" cy="4200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152399</xdr:colOff>
      <xdr:row>0</xdr:row>
      <xdr:rowOff>116114</xdr:rowOff>
    </xdr:from>
    <xdr:to>
      <xdr:col>21</xdr:col>
      <xdr:colOff>43542</xdr:colOff>
      <xdr:row>39</xdr:row>
      <xdr:rowOff>91163</xdr:rowOff>
    </xdr:to>
    <xdr:pic>
      <xdr:nvPicPr>
        <xdr:cNvPr id="2" name="Picture 1">
          <a:extLst>
            <a:ext uri="{FF2B5EF4-FFF2-40B4-BE49-F238E27FC236}">
              <a16:creationId xmlns:a16="http://schemas.microsoft.com/office/drawing/2014/main" id="{0AC42456-BA8E-3572-0790-2B2910E8848D}"/>
            </a:ext>
          </a:extLst>
        </xdr:cNvPr>
        <xdr:cNvPicPr>
          <a:picLocks noChangeAspect="1"/>
        </xdr:cNvPicPr>
      </xdr:nvPicPr>
      <xdr:blipFill>
        <a:blip xmlns:r="http://schemas.openxmlformats.org/officeDocument/2006/relationships" r:embed="rId1"/>
        <a:stretch>
          <a:fillRect/>
        </a:stretch>
      </xdr:blipFill>
      <xdr:spPr>
        <a:xfrm>
          <a:off x="152399" y="116114"/>
          <a:ext cx="12692743" cy="719227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8EDDF-D77B-4266-90E3-08C0C3B0DD56}" name="Automations" displayName="Automations" ref="A1:Z152" totalsRowShown="0" headerRowDxfId="26">
  <autoFilter ref="A1:Z152" xr:uid="{7208EDDF-D77B-4266-90E3-08C0C3B0DD56}"/>
  <tableColumns count="26">
    <tableColumn id="1" xr3:uid="{3BCB08B4-6DE6-4BF5-BEED-3037158D3979}" name="AutomationTitle" dataDxfId="25"/>
    <tableColumn id="2" xr3:uid="{2751A413-B6FC-4433-BFEB-DAE4C98F6100}" name="AutoID" dataDxfId="24"/>
    <tableColumn id="3" xr3:uid="{BB917E96-74E6-4760-9812-D41EB0D589E9}" name="Automation Name"/>
    <tableColumn id="4" xr3:uid="{F25EF3BF-7418-41FA-83F6-ABE9EC652CFF}" name="LastChecked"/>
    <tableColumn id="6" xr3:uid="{8E5A3D95-9462-4E91-B0CC-8CD6325043F8}" name="BU"/>
    <tableColumn id="5" xr3:uid="{D0210702-54D3-4BDB-A365-FDBD69987699}" name="A_Location"/>
    <tableColumn id="10" xr3:uid="{591D475B-3D41-4753-8DB9-B58D57F2868B}" name="A_Key"/>
    <tableColumn id="11" xr3:uid="{B964ADE0-243F-4D7F-B3B4-76B9674BC66F}" name="A_Desc"/>
    <tableColumn id="8" xr3:uid="{F2546337-3CBD-4039-BDAA-A3B5F1DB3BEA}" name="A_CreatedDate"/>
    <tableColumn id="7" xr3:uid="{229F9A36-DFAF-40CF-91F5-A335903B34DC}" name="A_LastSavedDate"/>
    <tableColumn id="9" xr3:uid="{652AB237-B6BD-4764-8DDD-12EDC6925F27}" name="A_LastPausedDate"/>
    <tableColumn id="16" xr3:uid="{40142FF7-FB6C-427A-A774-89CA17159EAB}" name="A_Status"/>
    <tableColumn id="13" xr3:uid="{79768FD9-B915-4312-87F4-AD7647FB509B}" name="A_StartingSource"/>
    <tableColumn id="14" xr3:uid="{E2561952-A2AA-4B04-9F71-D0A282CECF04}" name="A_ScheduleInfo"/>
    <tableColumn id="12" xr3:uid="{155EE1C5-E5C7-4FE2-91C3-FD19B03C0C86}" name="A_FileLocation"/>
    <tableColumn id="19" xr3:uid="{0CA3BF46-AAC6-413F-8656-35568066DEFD}" name="A_TriggerInfo"/>
    <tableColumn id="17" xr3:uid="{1DC1E8B4-9B1E-4740-B78F-F5A7D1F49D2D}" name="A_StepCount" dataDxfId="23"/>
    <tableColumn id="21" xr3:uid="{99CB0E2C-4501-4B9C-95ED-FD5918306BDC}" name="A_ErrorRate"/>
    <tableColumn id="18" xr3:uid="{7DC87BA7-7412-463E-B343-59F718118569}" name="A_ErrorNotificationEmails" dataDxfId="22" dataCellStyle="Hyperlink"/>
    <tableColumn id="26" xr3:uid="{9D107B21-F454-4FB1-B473-31378E25B13F}" name="A_HasErrorMonitor"/>
    <tableColumn id="20" xr3:uid="{5BC687A7-5404-46C1-8361-1332EA168640}" name="A_AvgRunTime"/>
    <tableColumn id="22" xr3:uid="{7A23F01B-B50F-4410-ABAA-32B44C511D67}" name="A_Campaign"/>
    <tableColumn id="15" xr3:uid="{A8F2BA96-A206-4CBB-AB97-1CAA90DC08A3}" name="A_NextRun"/>
    <tableColumn id="23" xr3:uid="{974432F9-2F12-49E8-AC14-A42DF57E7455}" name="A_LastRunStatus"/>
    <tableColumn id="24" xr3:uid="{695B3C04-1950-4F86-88A3-0A1C89AFB624}" name="A_LastRun"/>
    <tableColumn id="25" xr3:uid="{E41F989E-47DA-4931-88C3-C9CE0F19090F}" name="A_LastModifi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37AD09-C005-4F64-B68D-61D4377A713D}" name="DataType" displayName="DataType" ref="H3:J7" totalsRowShown="0">
  <autoFilter ref="H3:J7" xr:uid="{5637AD09-C005-4F64-B68D-61D4377A713D}"/>
  <tableColumns count="3">
    <tableColumn id="1" xr3:uid="{E5644376-68FC-4FD7-87F5-7FB31EC3D357}" name="DataType"/>
    <tableColumn id="2" xr3:uid="{45643317-0DEB-47FE-848C-E9CE537C9BEF}" name="DataTypeID"/>
    <tableColumn id="3" xr3:uid="{6D34A529-B31D-4CC3-9B5B-2CC16786C470}"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116375-8923-4147-9211-BDDBAE4F51D1}" name="Activities" displayName="Activities" ref="A1:T62" totalsRowShown="0" headerRowDxfId="21" dataDxfId="20">
  <autoFilter ref="A1:T62" xr:uid="{30116375-8923-4147-9211-BDDBAE4F51D1}"/>
  <tableColumns count="20">
    <tableColumn id="1" xr3:uid="{09E6BC26-E0C9-4A5D-BA1E-E0AF002974FD}" name="ActivityTitle" dataDxfId="19">
      <calculatedColumnFormula>CONCATENATE("A",M2,"_",C2,"_",F2,"_",E2)</calculatedColumnFormula>
    </tableColumn>
    <tableColumn id="14" xr3:uid="{5C275774-8057-43CF-ACC4-DB0E87082F13}" name="ActID" dataDxfId="18">
      <calculatedColumnFormula>CONCATENATE("A",Activities[[#This Row],[AutoID]],"_",TEXT(Activities[[#This Row],[Step]],"##00.0"),"_",Activities[[#This Row],[ActType]])</calculatedColumnFormula>
    </tableColumn>
    <tableColumn id="5" xr3:uid="{A17C0587-71B0-49C6-8FA0-24246BB3D7AA}" name="Step" dataDxfId="17"/>
    <tableColumn id="20" xr3:uid="{BC84EF74-7071-4BED-903F-EEF61B59B35A}" name="ActName" dataDxfId="16">
      <calculatedColumnFormula>CONCATENATE(Activities[[#This Row],[Step]],"__",Activities[[#This Row],[ActivityName]],"__",Activities[[#This Row],[ActType]])</calculatedColumnFormula>
    </tableColumn>
    <tableColumn id="2" xr3:uid="{15240CEA-CCA7-4D36-9D62-04C0188F1CDC}" name="ActivityName" dataDxfId="15"/>
    <tableColumn id="6" xr3:uid="{0D7A4AEE-E4C9-401B-812F-4552C963455C}" name="ActType" dataDxfId="14"/>
    <tableColumn id="4" xr3:uid="{EAD2CEF7-E73D-408D-8251-F7D43647AFDE}" name="AutomationTitle" dataDxfId="13"/>
    <tableColumn id="7" xr3:uid="{EFDB42A8-D391-4F0D-A6EB-47979812CBC0}" name="Annotations" dataDxfId="12"/>
    <tableColumn id="8" xr3:uid="{6A20A063-8177-42BC-92F3-524221DA5A4F}" name="." dataDxfId="11"/>
    <tableColumn id="9" xr3:uid="{FDCBAEF2-DD83-4EFA-87DF-D5F3752666F3}" name="ActKey" dataDxfId="10"/>
    <tableColumn id="10" xr3:uid="{8A0DBF22-46D8-4F2B-8568-A0B61A039FE1}" name="ActLocation" dataDxfId="9"/>
    <tableColumn id="15" xr3:uid="{516D7D68-2982-4094-9351-EE4CBFD85794}" name="ActDesc" dataDxfId="8"/>
    <tableColumn id="3" xr3:uid="{F79681AC-A896-4CE7-B59C-7F8A39894E2E}" name="AutoID" dataDxfId="7"/>
    <tableColumn id="16" xr3:uid="{D83BFCB4-4A5F-4A33-8FFC-F54047CFAF41}" name=".." dataDxfId="6"/>
    <tableColumn id="11" xr3:uid="{6AB6AD93-4E2C-4539-8A72-8D515A51384D}" name="TargetDE" dataDxfId="5"/>
    <tableColumn id="12" xr3:uid="{5517FCC5-5CE3-4B9D-8BB7-4E3B0A9E34E1}" name="DataAction" dataDxfId="4"/>
    <tableColumn id="13" xr3:uid="{A936401C-8FE7-4164-BBA8-3283338F5F44}" name="PrimarySource" dataDxfId="3"/>
    <tableColumn id="17" xr3:uid="{E9FFE3C6-D588-4DBE-814D-65A25717E23C}" name="FileName" dataDxfId="2"/>
    <tableColumn id="18" xr3:uid="{74F8D1EF-112C-4D12-BAC8-5A822955194D}" name="SFTPFolder" dataDxfId="1"/>
    <tableColumn id="19" xr3:uid="{EE69C130-E68E-4C58-B891-4FEB0B2AA902}" name="AlertEmails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kpmgus.sharepoint.com/sites/US-Marketing_Data_Management/Lists/SFMC%20Data%20Dictionary/DispForm.aspx?ID=44&amp;e=V061Cb" TargetMode="External"/><Relationship Id="rId2" Type="http://schemas.openxmlformats.org/officeDocument/2006/relationships/hyperlink" Target="https://kpmgus.sharepoint.com/sites/US-Marketing_Data_Management/Lists/SFMC%20Data%20Dictionary/DispForm.aspx?ID=526&amp;e=61KNQX" TargetMode="External"/><Relationship Id="rId1" Type="http://schemas.openxmlformats.org/officeDocument/2006/relationships/hyperlink" Target="https://kpmgus.sharepoint.com/sites/US-Marketing_Data_Management/Lists/SFMC%20Data%20Dictionary/DispForm.aspx?ID=43&amp;e=ghSvru" TargetMode="Externa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2.bin"/><Relationship Id="rId1" Type="http://schemas.openxmlformats.org/officeDocument/2006/relationships/hyperlink" Target="mailto:us-dlbpgsfmcmonitoring@kpmg.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customProperty" Target="../customProperty8.bin"/><Relationship Id="rId1" Type="http://schemas.openxmlformats.org/officeDocument/2006/relationships/hyperlink" Target="mailto:rnandini@kpmg.com%20varshashelar@kpmg.com%20ajeetsingh3@kpmg.com%20rcordingley@KPMG.com%20anirudhganeshbharadw@KPM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4733-FE4D-433C-854A-07EBE0467300}">
  <dimension ref="A1:W33"/>
  <sheetViews>
    <sheetView workbookViewId="0">
      <pane xSplit="1" ySplit="1" topLeftCell="J2" activePane="bottomRight" state="frozen"/>
      <selection pane="topRight" activeCell="B1" sqref="B1"/>
      <selection pane="bottomLeft" activeCell="A2" sqref="A2"/>
      <selection pane="bottomRight" activeCell="W4" sqref="W4"/>
    </sheetView>
  </sheetViews>
  <sheetFormatPr defaultRowHeight="14.5"/>
  <cols>
    <col min="1" max="1" width="44.54296875" bestFit="1" customWidth="1"/>
    <col min="3" max="3" width="44.54296875" bestFit="1" customWidth="1"/>
    <col min="4" max="4" width="17.81640625" customWidth="1"/>
    <col min="5" max="5" width="1.453125" bestFit="1" customWidth="1"/>
    <col min="7" max="7" width="12.1796875" bestFit="1" customWidth="1"/>
    <col min="9" max="9" width="12.1796875" bestFit="1" customWidth="1"/>
    <col min="10" max="10" width="12.1796875" customWidth="1"/>
    <col min="11" max="11" width="12.1796875" bestFit="1" customWidth="1"/>
    <col min="12" max="12" width="1.453125" bestFit="1" customWidth="1"/>
    <col min="13" max="13" width="12.1796875" bestFit="1" customWidth="1"/>
    <col min="14" max="14" width="12.1796875" customWidth="1"/>
    <col min="15" max="15" width="12.1796875" bestFit="1" customWidth="1"/>
    <col min="16" max="16" width="1.453125" bestFit="1" customWidth="1"/>
    <col min="17" max="17" width="3.54296875" customWidth="1"/>
    <col min="18" max="18" width="13.453125" bestFit="1" customWidth="1"/>
    <col min="19" max="19" width="6.453125" customWidth="1"/>
    <col min="20" max="20" width="15.453125" bestFit="1" customWidth="1"/>
    <col min="21" max="21" width="1.453125" bestFit="1" customWidth="1"/>
  </cols>
  <sheetData>
    <row r="1" spans="1:23">
      <c r="A1" t="s">
        <v>0</v>
      </c>
      <c r="B1" t="s">
        <v>1</v>
      </c>
      <c r="C1" t="s">
        <v>2</v>
      </c>
      <c r="D1" t="s">
        <v>3</v>
      </c>
      <c r="E1" t="s">
        <v>4</v>
      </c>
      <c r="F1" t="s">
        <v>5</v>
      </c>
      <c r="G1" t="s">
        <v>6</v>
      </c>
      <c r="H1" t="s">
        <v>7</v>
      </c>
      <c r="I1" t="s">
        <v>8</v>
      </c>
      <c r="J1" t="s">
        <v>9</v>
      </c>
      <c r="K1" t="s">
        <v>10</v>
      </c>
      <c r="L1" t="s">
        <v>4</v>
      </c>
      <c r="M1" t="s">
        <v>11</v>
      </c>
      <c r="N1" t="s">
        <v>12</v>
      </c>
      <c r="O1" t="s">
        <v>13</v>
      </c>
      <c r="P1" t="s">
        <v>4</v>
      </c>
      <c r="Q1" t="s">
        <v>14</v>
      </c>
      <c r="R1" t="s">
        <v>15</v>
      </c>
      <c r="S1" t="s">
        <v>16</v>
      </c>
      <c r="T1" t="s">
        <v>17</v>
      </c>
      <c r="U1" t="s">
        <v>4</v>
      </c>
      <c r="V1" t="s">
        <v>18</v>
      </c>
    </row>
    <row r="2" spans="1:23">
      <c r="A2" t="s">
        <v>19</v>
      </c>
      <c r="B2" s="3">
        <v>46283</v>
      </c>
      <c r="C2" s="4" t="s">
        <v>19</v>
      </c>
      <c r="D2" t="s">
        <v>20</v>
      </c>
      <c r="E2" t="s">
        <v>4</v>
      </c>
      <c r="F2" s="1">
        <v>46149</v>
      </c>
      <c r="G2">
        <v>59</v>
      </c>
      <c r="H2">
        <v>14870</v>
      </c>
      <c r="I2" t="s">
        <v>21</v>
      </c>
      <c r="J2" t="s">
        <v>21</v>
      </c>
      <c r="K2" t="s">
        <v>22</v>
      </c>
      <c r="L2" t="s">
        <v>4</v>
      </c>
      <c r="M2" t="s">
        <v>23</v>
      </c>
      <c r="N2" t="s">
        <v>24</v>
      </c>
      <c r="O2" t="s">
        <v>25</v>
      </c>
      <c r="P2" t="s">
        <v>4</v>
      </c>
      <c r="Q2" t="s">
        <v>26</v>
      </c>
      <c r="R2" t="s">
        <v>27</v>
      </c>
      <c r="S2" t="s">
        <v>28</v>
      </c>
      <c r="T2" t="s">
        <v>29</v>
      </c>
      <c r="U2" t="s">
        <v>4</v>
      </c>
    </row>
    <row r="3" spans="1:23">
      <c r="A3" t="s">
        <v>30</v>
      </c>
      <c r="B3" s="3">
        <v>46283</v>
      </c>
      <c r="C3" s="4" t="s">
        <v>30</v>
      </c>
      <c r="D3" t="s">
        <v>31</v>
      </c>
      <c r="E3" t="s">
        <v>4</v>
      </c>
      <c r="F3" s="1">
        <v>46149</v>
      </c>
      <c r="G3">
        <v>58</v>
      </c>
      <c r="H3">
        <v>170047</v>
      </c>
      <c r="I3" t="s">
        <v>21</v>
      </c>
      <c r="J3" t="s">
        <v>21</v>
      </c>
      <c r="K3" t="s">
        <v>22</v>
      </c>
      <c r="L3" t="s">
        <v>4</v>
      </c>
      <c r="M3" t="s">
        <v>32</v>
      </c>
      <c r="O3" t="s">
        <v>25</v>
      </c>
      <c r="P3" t="s">
        <v>4</v>
      </c>
      <c r="Q3" t="s">
        <v>26</v>
      </c>
      <c r="R3" t="s">
        <v>27</v>
      </c>
      <c r="S3" t="s">
        <v>33</v>
      </c>
      <c r="T3" t="s">
        <v>29</v>
      </c>
      <c r="U3" t="s">
        <v>4</v>
      </c>
      <c r="V3" t="s">
        <v>34</v>
      </c>
      <c r="W3" t="s">
        <v>35</v>
      </c>
    </row>
    <row r="4" spans="1:23">
      <c r="A4" t="s">
        <v>36</v>
      </c>
      <c r="B4" s="3">
        <v>46283</v>
      </c>
      <c r="C4" s="4" t="s">
        <v>36</v>
      </c>
      <c r="D4" t="s">
        <v>37</v>
      </c>
      <c r="E4" t="s">
        <v>4</v>
      </c>
      <c r="F4" s="1">
        <v>46055</v>
      </c>
      <c r="G4">
        <v>56</v>
      </c>
      <c r="H4">
        <v>73603</v>
      </c>
      <c r="I4" t="s">
        <v>38</v>
      </c>
      <c r="J4" t="s">
        <v>21</v>
      </c>
      <c r="K4" t="s">
        <v>22</v>
      </c>
      <c r="L4" t="s">
        <v>4</v>
      </c>
      <c r="M4" t="s">
        <v>32</v>
      </c>
      <c r="O4" t="s">
        <v>25</v>
      </c>
      <c r="P4" t="s">
        <v>4</v>
      </c>
      <c r="Q4" t="s">
        <v>26</v>
      </c>
      <c r="R4" t="s">
        <v>27</v>
      </c>
      <c r="S4" t="s">
        <v>28</v>
      </c>
      <c r="T4" t="s">
        <v>29</v>
      </c>
      <c r="U4" t="s">
        <v>4</v>
      </c>
    </row>
    <row r="5" spans="1:23">
      <c r="E5" t="s">
        <v>4</v>
      </c>
      <c r="L5" t="s">
        <v>4</v>
      </c>
      <c r="P5" t="s">
        <v>4</v>
      </c>
      <c r="U5" t="s">
        <v>4</v>
      </c>
    </row>
    <row r="6" spans="1:23">
      <c r="E6" t="s">
        <v>4</v>
      </c>
      <c r="L6" t="s">
        <v>4</v>
      </c>
      <c r="P6" t="s">
        <v>4</v>
      </c>
      <c r="U6" t="s">
        <v>4</v>
      </c>
    </row>
    <row r="7" spans="1:23">
      <c r="E7" t="s">
        <v>4</v>
      </c>
      <c r="L7" t="s">
        <v>4</v>
      </c>
      <c r="P7" t="s">
        <v>4</v>
      </c>
      <c r="U7" t="s">
        <v>4</v>
      </c>
    </row>
    <row r="8" spans="1:23">
      <c r="E8" t="s">
        <v>4</v>
      </c>
      <c r="L8" t="s">
        <v>4</v>
      </c>
      <c r="P8" t="s">
        <v>4</v>
      </c>
      <c r="U8" t="s">
        <v>4</v>
      </c>
    </row>
    <row r="9" spans="1:23">
      <c r="E9" t="s">
        <v>4</v>
      </c>
      <c r="L9" t="s">
        <v>4</v>
      </c>
      <c r="P9" t="s">
        <v>4</v>
      </c>
      <c r="U9" t="s">
        <v>4</v>
      </c>
    </row>
    <row r="10" spans="1:23">
      <c r="E10" t="s">
        <v>4</v>
      </c>
      <c r="L10" t="s">
        <v>4</v>
      </c>
      <c r="P10" t="s">
        <v>4</v>
      </c>
      <c r="U10" t="s">
        <v>4</v>
      </c>
    </row>
    <row r="11" spans="1:23">
      <c r="E11" t="s">
        <v>4</v>
      </c>
      <c r="L11" t="s">
        <v>4</v>
      </c>
      <c r="P11" t="s">
        <v>4</v>
      </c>
      <c r="U11" t="s">
        <v>4</v>
      </c>
    </row>
    <row r="12" spans="1:23">
      <c r="E12" t="s">
        <v>4</v>
      </c>
      <c r="L12" t="s">
        <v>4</v>
      </c>
      <c r="P12" t="s">
        <v>4</v>
      </c>
      <c r="U12" t="s">
        <v>4</v>
      </c>
    </row>
    <row r="13" spans="1:23">
      <c r="E13" t="s">
        <v>4</v>
      </c>
      <c r="L13" t="s">
        <v>4</v>
      </c>
      <c r="P13" t="s">
        <v>4</v>
      </c>
      <c r="U13" t="s">
        <v>4</v>
      </c>
    </row>
    <row r="14" spans="1:23">
      <c r="E14" t="s">
        <v>4</v>
      </c>
      <c r="L14" t="s">
        <v>4</v>
      </c>
      <c r="P14" t="s">
        <v>4</v>
      </c>
      <c r="U14" t="s">
        <v>4</v>
      </c>
    </row>
    <row r="15" spans="1:23">
      <c r="E15" t="s">
        <v>4</v>
      </c>
      <c r="L15" t="s">
        <v>4</v>
      </c>
      <c r="P15" t="s">
        <v>4</v>
      </c>
      <c r="U15" t="s">
        <v>4</v>
      </c>
    </row>
    <row r="16" spans="1:23">
      <c r="E16" t="s">
        <v>4</v>
      </c>
      <c r="L16" t="s">
        <v>4</v>
      </c>
      <c r="P16" t="s">
        <v>4</v>
      </c>
      <c r="U16" t="s">
        <v>4</v>
      </c>
    </row>
    <row r="17" spans="5:21">
      <c r="E17" t="s">
        <v>4</v>
      </c>
      <c r="L17" t="s">
        <v>4</v>
      </c>
      <c r="P17" t="s">
        <v>4</v>
      </c>
      <c r="U17" t="s">
        <v>4</v>
      </c>
    </row>
    <row r="18" spans="5:21">
      <c r="E18" t="s">
        <v>4</v>
      </c>
      <c r="L18" t="s">
        <v>4</v>
      </c>
      <c r="P18" t="s">
        <v>4</v>
      </c>
      <c r="U18" t="s">
        <v>4</v>
      </c>
    </row>
    <row r="19" spans="5:21">
      <c r="E19" t="s">
        <v>4</v>
      </c>
      <c r="L19" t="s">
        <v>4</v>
      </c>
      <c r="P19" t="s">
        <v>4</v>
      </c>
      <c r="U19" t="s">
        <v>4</v>
      </c>
    </row>
    <row r="20" spans="5:21">
      <c r="E20" t="s">
        <v>4</v>
      </c>
      <c r="L20" t="s">
        <v>4</v>
      </c>
      <c r="P20" t="s">
        <v>4</v>
      </c>
      <c r="U20" t="s">
        <v>4</v>
      </c>
    </row>
    <row r="21" spans="5:21">
      <c r="E21" t="s">
        <v>4</v>
      </c>
      <c r="L21" t="s">
        <v>4</v>
      </c>
      <c r="P21" t="s">
        <v>4</v>
      </c>
      <c r="U21" t="s">
        <v>4</v>
      </c>
    </row>
    <row r="22" spans="5:21">
      <c r="E22" t="s">
        <v>4</v>
      </c>
      <c r="L22" t="s">
        <v>4</v>
      </c>
      <c r="P22" t="s">
        <v>4</v>
      </c>
      <c r="U22" t="s">
        <v>4</v>
      </c>
    </row>
    <row r="23" spans="5:21">
      <c r="E23" t="s">
        <v>4</v>
      </c>
      <c r="L23" t="s">
        <v>4</v>
      </c>
      <c r="P23" t="s">
        <v>4</v>
      </c>
      <c r="U23" t="s">
        <v>4</v>
      </c>
    </row>
    <row r="24" spans="5:21">
      <c r="E24" t="s">
        <v>4</v>
      </c>
      <c r="L24" t="s">
        <v>4</v>
      </c>
      <c r="P24" t="s">
        <v>4</v>
      </c>
      <c r="U24" t="s">
        <v>4</v>
      </c>
    </row>
    <row r="25" spans="5:21">
      <c r="E25" t="s">
        <v>4</v>
      </c>
      <c r="L25" t="s">
        <v>4</v>
      </c>
      <c r="P25" t="s">
        <v>4</v>
      </c>
      <c r="U25" t="s">
        <v>4</v>
      </c>
    </row>
    <row r="26" spans="5:21">
      <c r="E26" t="s">
        <v>4</v>
      </c>
      <c r="L26" t="s">
        <v>4</v>
      </c>
      <c r="P26" t="s">
        <v>4</v>
      </c>
      <c r="U26" t="s">
        <v>4</v>
      </c>
    </row>
    <row r="27" spans="5:21">
      <c r="E27" t="s">
        <v>4</v>
      </c>
      <c r="L27" t="s">
        <v>4</v>
      </c>
      <c r="P27" t="s">
        <v>4</v>
      </c>
      <c r="U27" t="s">
        <v>4</v>
      </c>
    </row>
    <row r="28" spans="5:21">
      <c r="E28" t="s">
        <v>4</v>
      </c>
      <c r="L28" t="s">
        <v>4</v>
      </c>
      <c r="P28" t="s">
        <v>4</v>
      </c>
      <c r="U28" t="s">
        <v>4</v>
      </c>
    </row>
    <row r="29" spans="5:21">
      <c r="E29" t="s">
        <v>4</v>
      </c>
      <c r="L29" t="s">
        <v>4</v>
      </c>
      <c r="P29" t="s">
        <v>4</v>
      </c>
      <c r="U29" t="s">
        <v>4</v>
      </c>
    </row>
    <row r="30" spans="5:21">
      <c r="E30" t="s">
        <v>4</v>
      </c>
      <c r="L30" t="s">
        <v>4</v>
      </c>
      <c r="P30" t="s">
        <v>4</v>
      </c>
      <c r="U30" t="s">
        <v>4</v>
      </c>
    </row>
    <row r="31" spans="5:21">
      <c r="E31" t="s">
        <v>4</v>
      </c>
      <c r="L31" t="s">
        <v>4</v>
      </c>
      <c r="P31" t="s">
        <v>4</v>
      </c>
      <c r="U31" t="s">
        <v>4</v>
      </c>
    </row>
    <row r="32" spans="5:21">
      <c r="E32" t="s">
        <v>4</v>
      </c>
      <c r="L32" t="s">
        <v>4</v>
      </c>
      <c r="P32" t="s">
        <v>4</v>
      </c>
      <c r="U32" t="s">
        <v>4</v>
      </c>
    </row>
    <row r="33" spans="5:21">
      <c r="E33" t="s">
        <v>4</v>
      </c>
      <c r="L33" t="s">
        <v>4</v>
      </c>
      <c r="P33" t="s">
        <v>4</v>
      </c>
      <c r="U33" t="s">
        <v>4</v>
      </c>
    </row>
  </sheetData>
  <hyperlinks>
    <hyperlink ref="C2" r:id="rId1" display="https://kpmgus.sharepoint.com/sites/US-Marketing_Data_Management/Lists/SFMC Data Dictionary/DispForm.aspx?ID=43&amp;e=ghSvru" xr:uid="{92E640F3-3E46-4714-B925-2AE9BB468538}"/>
    <hyperlink ref="C3" r:id="rId2" display="https://kpmgus.sharepoint.com/sites/US-Marketing_Data_Management/Lists/SFMC Data Dictionary/DispForm.aspx?ID=526&amp;e=61KNQX" xr:uid="{6C55DAAC-2AE4-4101-9D02-5D6660263E3D}"/>
    <hyperlink ref="C4" r:id="rId3" display="https://kpmgus.sharepoint.com/sites/US-Marketing_Data_Management/Lists/SFMC Data Dictionary/DispForm.aspx?ID=44&amp;e=V061Cb" xr:uid="{748EC3AA-D054-407F-A157-1E61FE6F13C7}"/>
  </hyperlinks>
  <pageMargins left="0.7" right="0.7" top="0.75" bottom="0.75" header="0.3" footer="0.3"/>
  <customProperties>
    <customPr name="OrphanNamesChecked" r:id="rId4"/>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ED265-BE31-47EB-8E1C-815E888B7C7A}">
  <dimension ref="A1:Z152"/>
  <sheetViews>
    <sheetView tabSelected="1" topLeftCell="A138" zoomScale="85" zoomScaleNormal="85" workbookViewId="0">
      <selection activeCell="A160" sqref="A160"/>
    </sheetView>
  </sheetViews>
  <sheetFormatPr defaultRowHeight="14.5"/>
  <cols>
    <col min="1" max="1" width="80.08984375" style="40" bestFit="1" customWidth="1"/>
    <col min="2" max="2" width="4.26953125" style="40" bestFit="1" customWidth="1"/>
    <col min="3" max="3" width="72.7265625" bestFit="1" customWidth="1"/>
    <col min="4" max="4" width="10.81640625" bestFit="1" customWidth="1"/>
    <col min="5" max="5" width="5.7265625" bestFit="1" customWidth="1"/>
    <col min="6" max="6" width="34.26953125" bestFit="1" customWidth="1"/>
    <col min="7" max="7" width="37.54296875" bestFit="1" customWidth="1"/>
    <col min="8" max="8" width="176.08984375" bestFit="1" customWidth="1"/>
    <col min="9" max="9" width="11" bestFit="1" customWidth="1"/>
    <col min="10" max="11" width="10.81640625" bestFit="1" customWidth="1"/>
    <col min="12" max="12" width="11.1796875" bestFit="1" customWidth="1"/>
    <col min="13" max="13" width="14.453125" bestFit="1" customWidth="1"/>
    <col min="14" max="14" width="12.453125" bestFit="1" customWidth="1"/>
    <col min="15" max="15" width="16.54296875" bestFit="1" customWidth="1"/>
    <col min="16" max="16" width="15" bestFit="1" customWidth="1"/>
    <col min="17" max="17" width="3.08984375" bestFit="1" customWidth="1"/>
    <col min="18" max="18" width="3.54296875" bestFit="1" customWidth="1"/>
    <col min="19" max="19" width="32.1796875" bestFit="1" customWidth="1"/>
    <col min="20" max="20" width="3.7265625" bestFit="1" customWidth="1"/>
    <col min="21" max="21" width="3.90625" bestFit="1" customWidth="1"/>
    <col min="22" max="22" width="14.453125" bestFit="1" customWidth="1"/>
    <col min="23" max="23" width="18.90625" bestFit="1" customWidth="1"/>
    <col min="24" max="24" width="8.81640625" bestFit="1" customWidth="1"/>
    <col min="25" max="26" width="18.90625" bestFit="1" customWidth="1"/>
  </cols>
  <sheetData>
    <row r="1" spans="1:26" s="11" customFormat="1">
      <c r="A1" s="39" t="s">
        <v>39</v>
      </c>
      <c r="B1" s="39" t="s">
        <v>40</v>
      </c>
      <c r="C1" s="10" t="s">
        <v>41</v>
      </c>
      <c r="D1" s="10" t="s">
        <v>42</v>
      </c>
      <c r="E1" s="10" t="s">
        <v>43</v>
      </c>
      <c r="F1" s="10" t="s">
        <v>44</v>
      </c>
      <c r="G1" s="10" t="s">
        <v>45</v>
      </c>
      <c r="H1" s="10" t="s">
        <v>46</v>
      </c>
      <c r="I1" s="10" t="s">
        <v>47</v>
      </c>
      <c r="J1" s="10" t="s">
        <v>48</v>
      </c>
      <c r="K1" s="10" t="s">
        <v>49</v>
      </c>
      <c r="L1" s="10" t="s">
        <v>50</v>
      </c>
      <c r="M1" s="10" t="s">
        <v>51</v>
      </c>
      <c r="N1" s="10" t="s">
        <v>52</v>
      </c>
      <c r="O1" s="10" t="s">
        <v>53</v>
      </c>
      <c r="P1" s="10" t="s">
        <v>54</v>
      </c>
      <c r="Q1" s="10" t="s">
        <v>55</v>
      </c>
      <c r="R1" s="10" t="s">
        <v>56</v>
      </c>
      <c r="S1" s="10" t="s">
        <v>57</v>
      </c>
      <c r="T1" s="10" t="s">
        <v>58</v>
      </c>
      <c r="U1" s="10" t="s">
        <v>59</v>
      </c>
      <c r="V1" s="10" t="s">
        <v>60</v>
      </c>
      <c r="W1" s="10" t="s">
        <v>61</v>
      </c>
      <c r="X1" s="10" t="s">
        <v>62</v>
      </c>
      <c r="Y1" s="10" t="s">
        <v>63</v>
      </c>
      <c r="Z1" s="10" t="s">
        <v>64</v>
      </c>
    </row>
    <row r="2" spans="1:26">
      <c r="A2" s="40" t="str">
        <f>CONCATENATE("A",TEXT(B2, "0000"),"__",C2)</f>
        <v>A01A__AutomationName</v>
      </c>
      <c r="B2" s="40" t="s">
        <v>65</v>
      </c>
      <c r="C2" t="s">
        <v>66</v>
      </c>
      <c r="D2" t="s">
        <v>67</v>
      </c>
      <c r="E2" t="s">
        <v>68</v>
      </c>
      <c r="F2" t="s">
        <v>69</v>
      </c>
      <c r="I2" s="1">
        <v>46281</v>
      </c>
      <c r="J2" s="1">
        <v>46281</v>
      </c>
      <c r="K2" s="1">
        <v>46281</v>
      </c>
      <c r="M2" t="s">
        <v>70</v>
      </c>
    </row>
    <row r="3" spans="1:26">
      <c r="A3" s="40" t="str">
        <f>CONCATENATE("A",TEXT(B3, "0000"),"__",C3)</f>
        <v>A09B__Consent-Consent Updates</v>
      </c>
      <c r="B3" s="40" t="s">
        <v>71</v>
      </c>
      <c r="C3" t="s">
        <v>72</v>
      </c>
      <c r="D3" s="1">
        <v>46296</v>
      </c>
      <c r="E3" t="s">
        <v>68</v>
      </c>
      <c r="F3" t="s">
        <v>73</v>
      </c>
      <c r="G3" t="s">
        <v>74</v>
      </c>
      <c r="H3" t="s">
        <v>75</v>
      </c>
      <c r="I3" s="1">
        <v>45422</v>
      </c>
      <c r="J3" s="1">
        <v>46296</v>
      </c>
      <c r="K3" s="1">
        <v>46289</v>
      </c>
      <c r="L3" t="s">
        <v>76</v>
      </c>
      <c r="M3" t="s">
        <v>70</v>
      </c>
      <c r="N3" t="s">
        <v>77</v>
      </c>
      <c r="Q3">
        <v>53</v>
      </c>
      <c r="S3" s="13" t="s">
        <v>78</v>
      </c>
      <c r="T3" t="s">
        <v>79</v>
      </c>
      <c r="W3" s="12">
        <v>46296.546527777777</v>
      </c>
    </row>
    <row r="4" spans="1:26">
      <c r="A4" s="40" t="str">
        <f t="shared" ref="A4:A67" si="0">CONCATENATE("A",TEXT(B4, "0000"),"__",C4)</f>
        <v>A0000__Reporting-LinkedInLive_UpdateMasterDE</v>
      </c>
      <c r="C4" t="s">
        <v>80</v>
      </c>
      <c r="H4" t="s">
        <v>81</v>
      </c>
      <c r="I4" s="1" t="s">
        <v>82</v>
      </c>
      <c r="M4" t="s">
        <v>83</v>
      </c>
    </row>
    <row r="5" spans="1:26">
      <c r="A5" s="40" t="str">
        <f t="shared" si="0"/>
        <v>A0000__SFIDUpdate-WebRFPGlobalMASTERDE</v>
      </c>
      <c r="C5" t="s">
        <v>84</v>
      </c>
      <c r="H5" t="s">
        <v>85</v>
      </c>
      <c r="I5" s="1">
        <v>45392.502140011573</v>
      </c>
      <c r="M5" t="s">
        <v>86</v>
      </c>
      <c r="S5" s="42"/>
    </row>
    <row r="6" spans="1:26">
      <c r="A6" s="40" t="str">
        <f t="shared" si="0"/>
        <v>A0000__SFTaskCreation-GlobalRFPExistingContact</v>
      </c>
      <c r="C6" t="s">
        <v>87</v>
      </c>
      <c r="H6" t="s">
        <v>88</v>
      </c>
      <c r="I6" s="1">
        <v>44665.079825810186</v>
      </c>
      <c r="M6" t="s">
        <v>89</v>
      </c>
      <c r="S6" s="42"/>
    </row>
    <row r="7" spans="1:26">
      <c r="A7" s="40" t="str">
        <f t="shared" si="0"/>
        <v>A0000__CVENT-CventInviteExport</v>
      </c>
      <c r="C7" t="s">
        <v>90</v>
      </c>
      <c r="H7" t="s">
        <v>91</v>
      </c>
      <c r="I7" s="1">
        <v>44349.567964201386</v>
      </c>
      <c r="M7" t="s">
        <v>86</v>
      </c>
      <c r="S7" s="42"/>
    </row>
    <row r="8" spans="1:26">
      <c r="A8" s="40" t="str">
        <f t="shared" si="0"/>
        <v>A0000__Consent-UpdateAlumniOptIn</v>
      </c>
      <c r="C8" t="s">
        <v>92</v>
      </c>
      <c r="H8" t="s">
        <v>93</v>
      </c>
      <c r="I8" s="1">
        <v>45304.385573495369</v>
      </c>
      <c r="M8" t="s">
        <v>86</v>
      </c>
      <c r="S8" s="42"/>
    </row>
    <row r="9" spans="1:26">
      <c r="A9" s="40" t="str">
        <f t="shared" si="0"/>
        <v>A0000__Consent-Consent Updates</v>
      </c>
      <c r="C9" t="s">
        <v>72</v>
      </c>
      <c r="H9" t="s">
        <v>94</v>
      </c>
      <c r="I9" s="1">
        <v>45422.318546377312</v>
      </c>
      <c r="M9" t="s">
        <v>86</v>
      </c>
      <c r="S9" s="42"/>
    </row>
    <row r="10" spans="1:26">
      <c r="A10" s="40" t="str">
        <f t="shared" si="0"/>
        <v>A0000__Suppression-HardBounceList</v>
      </c>
      <c r="C10" t="s">
        <v>95</v>
      </c>
      <c r="H10" t="s">
        <v>96</v>
      </c>
      <c r="I10" s="1">
        <v>44440.695824155089</v>
      </c>
      <c r="M10" t="s">
        <v>86</v>
      </c>
      <c r="S10" s="42"/>
    </row>
    <row r="11" spans="1:26">
      <c r="A11" s="40" t="str">
        <f t="shared" si="0"/>
        <v>A0000__InPersonEvent-AttendedTradeshowBoothScans</v>
      </c>
      <c r="C11" t="s">
        <v>97</v>
      </c>
      <c r="H11" t="s">
        <v>98</v>
      </c>
      <c r="I11" s="1">
        <v>45197.75841736111</v>
      </c>
      <c r="M11" t="s">
        <v>86</v>
      </c>
      <c r="S11" s="42"/>
    </row>
    <row r="12" spans="1:26">
      <c r="A12" s="40" t="str">
        <f t="shared" si="0"/>
        <v>A0000__Subscribers-MarketingTeamResetAllSubscribersStatus</v>
      </c>
      <c r="C12" t="s">
        <v>99</v>
      </c>
      <c r="H12" t="s">
        <v>100</v>
      </c>
      <c r="I12" s="1">
        <v>45869.751031250002</v>
      </c>
      <c r="M12" t="s">
        <v>86</v>
      </c>
      <c r="S12" s="42"/>
    </row>
    <row r="13" spans="1:26">
      <c r="A13" s="40" t="str">
        <f t="shared" si="0"/>
        <v>A0000__SalesforceTaskCreation-EnrichmentTaskForActiveHandraisers</v>
      </c>
      <c r="C13" t="s">
        <v>101</v>
      </c>
      <c r="H13" t="s">
        <v>102</v>
      </c>
      <c r="I13" s="1">
        <v>44783.368285104167</v>
      </c>
      <c r="M13" t="s">
        <v>86</v>
      </c>
      <c r="S13" s="42"/>
    </row>
    <row r="14" spans="1:26">
      <c r="A14" s="40" t="str">
        <f t="shared" si="0"/>
        <v>A0000__SFTaskCreation-MultipleInPersonAttendees</v>
      </c>
      <c r="C14" t="s">
        <v>103</v>
      </c>
      <c r="H14" t="s">
        <v>104</v>
      </c>
      <c r="I14" s="1">
        <v>45139.451445949075</v>
      </c>
      <c r="M14" t="s">
        <v>86</v>
      </c>
      <c r="S14" s="42"/>
    </row>
    <row r="15" spans="1:26">
      <c r="A15" s="40" t="str">
        <f t="shared" si="0"/>
        <v>A0000__SFIDUpdate-Maintain SalesforceID Marketing Data Sources</v>
      </c>
      <c r="C15" t="s">
        <v>105</v>
      </c>
      <c r="H15" t="s">
        <v>106</v>
      </c>
      <c r="I15" s="1">
        <v>44470.450555821757</v>
      </c>
      <c r="M15" t="s">
        <v>86</v>
      </c>
      <c r="S15" s="42"/>
    </row>
    <row r="16" spans="1:26">
      <c r="A16" s="40" t="str">
        <f t="shared" si="0"/>
        <v>A0000__CentralizedFormProcessor-MasterQA</v>
      </c>
      <c r="C16" t="s">
        <v>107</v>
      </c>
      <c r="H16" t="s">
        <v>108</v>
      </c>
      <c r="I16" s="1">
        <v>45162.298859641203</v>
      </c>
      <c r="M16" t="s">
        <v>86</v>
      </c>
      <c r="S16" s="42"/>
    </row>
    <row r="17" spans="1:19">
      <c r="A17" s="40" t="str">
        <f t="shared" si="0"/>
        <v>A0000__Reporting-NonEmailEngagedActivityAM</v>
      </c>
      <c r="C17" t="s">
        <v>109</v>
      </c>
      <c r="H17" t="s">
        <v>110</v>
      </c>
      <c r="I17" s="1">
        <v>45453.059269363424</v>
      </c>
      <c r="M17" t="s">
        <v>86</v>
      </c>
      <c r="S17" s="42"/>
    </row>
    <row r="18" spans="1:19">
      <c r="A18" s="40" t="str">
        <f t="shared" si="0"/>
        <v>A0000__Admin-AutomationMetadataReport</v>
      </c>
      <c r="C18" t="s">
        <v>111</v>
      </c>
      <c r="H18" t="s">
        <v>112</v>
      </c>
      <c r="I18" s="1">
        <v>45455.342935995373</v>
      </c>
      <c r="M18" t="s">
        <v>86</v>
      </c>
      <c r="S18" s="42"/>
    </row>
    <row r="19" spans="1:19">
      <c r="A19" s="40" t="str">
        <f t="shared" si="0"/>
        <v>A0000__Segmentation-Segmentation Starter ALL</v>
      </c>
      <c r="C19" t="s">
        <v>113</v>
      </c>
      <c r="H19" t="s">
        <v>114</v>
      </c>
      <c r="I19" s="1">
        <v>44498.389653275466</v>
      </c>
      <c r="M19" t="s">
        <v>86</v>
      </c>
      <c r="S19" s="42"/>
    </row>
    <row r="20" spans="1:19">
      <c r="A20" s="40" t="str">
        <f t="shared" si="0"/>
        <v>A0000__SFTaskCreation-EventAttendanceInPersonIn5Days</v>
      </c>
      <c r="C20" t="s">
        <v>115</v>
      </c>
      <c r="H20" t="s">
        <v>116</v>
      </c>
      <c r="I20" s="1">
        <v>45169.757176851854</v>
      </c>
      <c r="M20" t="s">
        <v>86</v>
      </c>
      <c r="S20" s="42"/>
    </row>
    <row r="21" spans="1:19">
      <c r="A21" s="40" t="str">
        <f t="shared" si="0"/>
        <v>A0000__LinkedIn-LeadsCollection</v>
      </c>
      <c r="C21" t="s">
        <v>117</v>
      </c>
      <c r="H21" t="s">
        <v>118</v>
      </c>
      <c r="I21" s="1">
        <v>44763.797944872684</v>
      </c>
      <c r="M21" t="s">
        <v>86</v>
      </c>
      <c r="S21" s="42"/>
    </row>
    <row r="22" spans="1:19">
      <c r="A22" s="40" t="str">
        <f t="shared" si="0"/>
        <v>A0000__CentralizedFormProcessor-CFPDuplicateDetectedError</v>
      </c>
      <c r="C22" t="s">
        <v>119</v>
      </c>
      <c r="H22" t="s">
        <v>120</v>
      </c>
      <c r="I22" s="1">
        <v>45271.593240127317</v>
      </c>
      <c r="M22" t="s">
        <v>86</v>
      </c>
      <c r="S22" s="42"/>
    </row>
    <row r="23" spans="1:19">
      <c r="A23" s="40" t="str">
        <f t="shared" si="0"/>
        <v>A0000__CampaignMember-ValidateUpdateStatus</v>
      </c>
      <c r="C23" t="s">
        <v>121</v>
      </c>
      <c r="H23" t="s">
        <v>122</v>
      </c>
      <c r="I23" s="1">
        <v>45295.528793634257</v>
      </c>
      <c r="M23" t="s">
        <v>86</v>
      </c>
      <c r="S23" s="42"/>
    </row>
    <row r="24" spans="1:19">
      <c r="A24" s="40" t="str">
        <f t="shared" si="0"/>
        <v>A0000__Reporting-Non_Email_Engaged_Activities-8349</v>
      </c>
      <c r="C24" t="s">
        <v>123</v>
      </c>
      <c r="H24" t="s">
        <v>124</v>
      </c>
      <c r="I24" s="1">
        <v>45134.438446678243</v>
      </c>
      <c r="M24" t="s">
        <v>86</v>
      </c>
      <c r="S24" s="42"/>
    </row>
    <row r="25" spans="1:19">
      <c r="A25" s="40" t="str">
        <f t="shared" si="0"/>
        <v>A0000__EmailActivity-EmailEngagedActivities</v>
      </c>
      <c r="C25" t="s">
        <v>125</v>
      </c>
      <c r="H25" t="s">
        <v>126</v>
      </c>
      <c r="I25" s="1">
        <v>44607.54098730324</v>
      </c>
      <c r="M25" t="s">
        <v>86</v>
      </c>
      <c r="S25" s="42"/>
    </row>
    <row r="26" spans="1:19">
      <c r="A26" s="40" t="str">
        <f t="shared" si="0"/>
        <v>A0000__Reporting-NHIClickTracking</v>
      </c>
      <c r="C26" t="s">
        <v>127</v>
      </c>
      <c r="H26" t="s">
        <v>128</v>
      </c>
      <c r="I26" s="1">
        <v>45750.430111111113</v>
      </c>
      <c r="M26" t="s">
        <v>86</v>
      </c>
      <c r="S26" s="42"/>
    </row>
    <row r="27" spans="1:19">
      <c r="A27" s="40" t="str">
        <f t="shared" si="0"/>
        <v>A0000__CampaignMember-SuppressedStatusesConsolidation</v>
      </c>
      <c r="C27" t="s">
        <v>129</v>
      </c>
      <c r="H27" t="s">
        <v>130</v>
      </c>
      <c r="I27" s="1">
        <v>45356.680454201392</v>
      </c>
      <c r="M27" t="s">
        <v>86</v>
      </c>
      <c r="S27" s="42"/>
    </row>
    <row r="28" spans="1:19">
      <c r="A28" s="40" t="str">
        <f t="shared" si="0"/>
        <v>A0000__Admin-DEsForDataCloudPOC</v>
      </c>
      <c r="C28" t="s">
        <v>131</v>
      </c>
      <c r="H28" t="s">
        <v>132</v>
      </c>
      <c r="I28" s="1">
        <v>45727.579299733799</v>
      </c>
      <c r="M28" t="s">
        <v>86</v>
      </c>
      <c r="S28" s="42"/>
    </row>
    <row r="29" spans="1:19">
      <c r="A29" s="40" t="str">
        <f t="shared" si="0"/>
        <v>A0000__CampaignMember-CampaignHierarchyRollupCampaignMemberAdditions</v>
      </c>
      <c r="C29" t="s">
        <v>133</v>
      </c>
      <c r="H29" t="s">
        <v>134</v>
      </c>
      <c r="I29" s="1">
        <v>44426.387881909723</v>
      </c>
      <c r="M29" t="s">
        <v>86</v>
      </c>
      <c r="S29" s="42"/>
    </row>
    <row r="30" spans="1:19">
      <c r="A30" s="40" t="str">
        <f t="shared" si="0"/>
        <v>A0000__Suppression-DormancyCycles</v>
      </c>
      <c r="C30" t="s">
        <v>135</v>
      </c>
      <c r="H30" t="s">
        <v>136</v>
      </c>
      <c r="I30" s="1">
        <v>45481.192793020833</v>
      </c>
      <c r="M30" t="s">
        <v>86</v>
      </c>
      <c r="S30" s="42"/>
    </row>
    <row r="31" spans="1:19">
      <c r="A31" s="40" t="str">
        <f t="shared" si="0"/>
        <v>A0000__AutomatedDeletion-DERecycleBinItems</v>
      </c>
      <c r="C31" t="s">
        <v>137</v>
      </c>
      <c r="H31" t="s">
        <v>138</v>
      </c>
      <c r="I31" s="1">
        <v>45715.796100543979</v>
      </c>
      <c r="M31" t="s">
        <v>86</v>
      </c>
      <c r="S31" s="42"/>
    </row>
    <row r="32" spans="1:19">
      <c r="A32" s="40" t="str">
        <f t="shared" si="0"/>
        <v>A0000__SyncDE-InternationalCounts</v>
      </c>
      <c r="C32" t="s">
        <v>139</v>
      </c>
      <c r="H32" t="s">
        <v>140</v>
      </c>
      <c r="I32" s="1">
        <v>45328.485569907411</v>
      </c>
      <c r="M32" t="s">
        <v>86</v>
      </c>
      <c r="S32" s="42"/>
    </row>
    <row r="33" spans="1:19">
      <c r="A33" s="40" t="str">
        <f t="shared" si="0"/>
        <v>A0000__Admin-CLUfrom4BUs_CwoCA</v>
      </c>
      <c r="C33" t="s">
        <v>141</v>
      </c>
      <c r="H33" t="s">
        <v>142</v>
      </c>
      <c r="I33" s="1">
        <v>44832.547895798612</v>
      </c>
      <c r="M33" t="s">
        <v>86</v>
      </c>
      <c r="S33" s="42"/>
    </row>
    <row r="34" spans="1:19">
      <c r="A34" s="40" t="str">
        <f t="shared" si="0"/>
        <v>A0000__Suppression-DomainExclusionList</v>
      </c>
      <c r="C34" t="s">
        <v>143</v>
      </c>
      <c r="H34" t="s">
        <v>144</v>
      </c>
      <c r="I34" s="1">
        <v>44831.604928043984</v>
      </c>
      <c r="M34" t="s">
        <v>86</v>
      </c>
      <c r="S34" s="42"/>
    </row>
    <row r="35" spans="1:19">
      <c r="A35" s="40" t="str">
        <f t="shared" si="0"/>
        <v>A0000__EmailActivity-SendLogs</v>
      </c>
      <c r="C35" t="s">
        <v>145</v>
      </c>
      <c r="H35" t="s">
        <v>146</v>
      </c>
      <c r="I35" s="1">
        <v>44998.684918090279</v>
      </c>
      <c r="M35" t="s">
        <v>86</v>
      </c>
      <c r="S35" s="42"/>
    </row>
    <row r="36" spans="1:19">
      <c r="A36" s="40" t="str">
        <f t="shared" si="0"/>
        <v>A0000__Consent-Activity Based 1st Party Consent</v>
      </c>
      <c r="C36" t="s">
        <v>147</v>
      </c>
      <c r="H36" t="s">
        <v>148</v>
      </c>
      <c r="I36" s="1">
        <v>44378.514943437498</v>
      </c>
      <c r="M36" t="s">
        <v>86</v>
      </c>
      <c r="S36" s="42"/>
    </row>
    <row r="37" spans="1:19">
      <c r="A37" s="40" t="str">
        <f t="shared" si="0"/>
        <v>A0000__Suppression-ContactDomainDormancySuppression</v>
      </c>
      <c r="C37" t="s">
        <v>149</v>
      </c>
      <c r="H37" t="s">
        <v>150</v>
      </c>
      <c r="I37" s="1">
        <v>44804.582899421293</v>
      </c>
      <c r="M37" t="s">
        <v>86</v>
      </c>
      <c r="S37" s="42"/>
    </row>
    <row r="38" spans="1:19">
      <c r="A38" s="40" t="str">
        <f t="shared" si="0"/>
        <v>A0000__Suppression-ContactDormancySuppression</v>
      </c>
      <c r="C38" t="s">
        <v>151</v>
      </c>
      <c r="H38" t="s">
        <v>152</v>
      </c>
      <c r="I38" s="1">
        <v>44958.70388483796</v>
      </c>
      <c r="M38" t="s">
        <v>86</v>
      </c>
      <c r="S38" s="42"/>
    </row>
    <row r="39" spans="1:19">
      <c r="A39" s="40" t="str">
        <f t="shared" si="0"/>
        <v>A0000__Consent-Consent_Data_Tracker</v>
      </c>
      <c r="C39" t="s">
        <v>153</v>
      </c>
      <c r="H39" t="s">
        <v>154</v>
      </c>
      <c r="I39" s="1">
        <v>44754.594322685189</v>
      </c>
      <c r="M39" t="s">
        <v>86</v>
      </c>
      <c r="S39" s="42"/>
    </row>
    <row r="40" spans="1:19">
      <c r="A40" s="40" t="str">
        <f t="shared" si="0"/>
        <v>A0000__EmailActivity-MasterSendLog_Daily</v>
      </c>
      <c r="C40" t="s">
        <v>155</v>
      </c>
      <c r="H40" t="s">
        <v>156</v>
      </c>
      <c r="I40" s="1">
        <v>44763.835083217593</v>
      </c>
      <c r="M40" t="s">
        <v>86</v>
      </c>
      <c r="S40" s="42"/>
    </row>
    <row r="41" spans="1:19">
      <c r="A41" s="40" t="str">
        <f t="shared" si="0"/>
        <v>A0000__Preference-AuditPreferenceEnrollmentUpdate</v>
      </c>
      <c r="C41" t="s">
        <v>157</v>
      </c>
      <c r="H41" t="s">
        <v>158</v>
      </c>
      <c r="I41" s="1">
        <v>45585.478490162037</v>
      </c>
      <c r="M41" t="s">
        <v>86</v>
      </c>
      <c r="S41" s="42"/>
    </row>
    <row r="42" spans="1:19">
      <c r="A42" s="40" t="str">
        <f t="shared" si="0"/>
        <v>A0000__Reporting-NonEmailEngagedActivityPM</v>
      </c>
      <c r="C42" t="s">
        <v>159</v>
      </c>
      <c r="H42" t="s">
        <v>160</v>
      </c>
      <c r="I42" s="1">
        <v>45453.264676701387</v>
      </c>
      <c r="M42" t="s">
        <v>86</v>
      </c>
      <c r="S42" s="42"/>
    </row>
    <row r="43" spans="1:19">
      <c r="A43" s="40" t="str">
        <f t="shared" si="0"/>
        <v>A0000__CRMA-CombinedPreferencesDaily</v>
      </c>
      <c r="C43" t="s">
        <v>161</v>
      </c>
      <c r="H43" t="s">
        <v>81</v>
      </c>
      <c r="I43" s="1">
        <v>45379.394595138889</v>
      </c>
      <c r="M43" t="s">
        <v>86</v>
      </c>
      <c r="S43" s="42"/>
    </row>
    <row r="44" spans="1:19">
      <c r="A44" s="40" t="str">
        <f t="shared" si="0"/>
        <v>A0000__MarketingScore-AllSources</v>
      </c>
      <c r="C44" t="s">
        <v>162</v>
      </c>
      <c r="H44" t="s">
        <v>163</v>
      </c>
      <c r="I44" s="1">
        <v>44329.189627511572</v>
      </c>
      <c r="M44" t="s">
        <v>86</v>
      </c>
      <c r="S44" s="42"/>
    </row>
    <row r="45" spans="1:19">
      <c r="A45" s="40" t="str">
        <f t="shared" si="0"/>
        <v>A0000__Segmentation-ContactsForRejectedNurture</v>
      </c>
      <c r="C45" t="s">
        <v>164</v>
      </c>
      <c r="H45" t="s">
        <v>165</v>
      </c>
      <c r="I45" s="1">
        <v>45585.487580821762</v>
      </c>
      <c r="M45" t="s">
        <v>86</v>
      </c>
      <c r="S45" s="42"/>
    </row>
    <row r="46" spans="1:19">
      <c r="A46" s="40" t="str">
        <f t="shared" si="0"/>
        <v>A0000__Admin-CRMAHealthCheck</v>
      </c>
      <c r="C46" t="s">
        <v>166</v>
      </c>
      <c r="H46" t="s">
        <v>167</v>
      </c>
      <c r="I46" s="1">
        <v>45784.60426670139</v>
      </c>
      <c r="M46" t="s">
        <v>86</v>
      </c>
      <c r="S46" s="42"/>
    </row>
    <row r="47" spans="1:19">
      <c r="A47" s="40" t="str">
        <f t="shared" si="0"/>
        <v>A0000__CRMA-ChannelExtractsDaily</v>
      </c>
      <c r="C47" t="s">
        <v>168</v>
      </c>
      <c r="H47" t="s">
        <v>169</v>
      </c>
      <c r="I47" s="1">
        <v>45120.659868368057</v>
      </c>
      <c r="M47" t="s">
        <v>86</v>
      </c>
      <c r="S47" s="42"/>
    </row>
    <row r="48" spans="1:19">
      <c r="A48" s="40" t="str">
        <f t="shared" si="0"/>
        <v>A0000__Admin-MCUsersDeactivatedNotification</v>
      </c>
      <c r="C48" t="s">
        <v>170</v>
      </c>
      <c r="H48" t="s">
        <v>171</v>
      </c>
      <c r="I48" s="1">
        <v>45082.555911493058</v>
      </c>
      <c r="M48" t="s">
        <v>86</v>
      </c>
      <c r="S48" s="42"/>
    </row>
    <row r="49" spans="1:19">
      <c r="A49" s="40" t="str">
        <f t="shared" si="0"/>
        <v>A0000__LinkedIn-RefreshAccessToken</v>
      </c>
      <c r="C49" t="s">
        <v>172</v>
      </c>
      <c r="H49" t="s">
        <v>173</v>
      </c>
      <c r="I49" s="1">
        <v>44763.787497453704</v>
      </c>
      <c r="M49" t="s">
        <v>86</v>
      </c>
      <c r="S49" s="42"/>
    </row>
    <row r="50" spans="1:19">
      <c r="A50" s="40" t="str">
        <f t="shared" si="0"/>
        <v>A0000__Reporting-SycndContactsLeadsUsers</v>
      </c>
      <c r="C50" t="s">
        <v>174</v>
      </c>
      <c r="H50" t="s">
        <v>175</v>
      </c>
      <c r="I50" s="1">
        <v>44826.548502083337</v>
      </c>
      <c r="M50" t="s">
        <v>86</v>
      </c>
      <c r="S50" s="42"/>
    </row>
    <row r="51" spans="1:19">
      <c r="A51" s="40" t="str">
        <f t="shared" si="0"/>
        <v>A0000__Reporting-VendorContactDataKcentral_UpdateMasterDE</v>
      </c>
      <c r="C51" t="s">
        <v>176</v>
      </c>
      <c r="H51" t="s">
        <v>81</v>
      </c>
      <c r="I51" s="1" t="s">
        <v>82</v>
      </c>
      <c r="M51" t="s">
        <v>83</v>
      </c>
      <c r="S51" s="42"/>
    </row>
    <row r="52" spans="1:19">
      <c r="A52" s="40" t="str">
        <f t="shared" si="0"/>
        <v>A0000__Reporting-WebRFPGlobal_UpdateMasterDE</v>
      </c>
      <c r="C52" t="s">
        <v>177</v>
      </c>
      <c r="H52" t="s">
        <v>81</v>
      </c>
      <c r="I52" s="1" t="s">
        <v>82</v>
      </c>
      <c r="M52" t="s">
        <v>83</v>
      </c>
      <c r="S52" s="42"/>
    </row>
    <row r="53" spans="1:19">
      <c r="A53" s="40" t="str">
        <f t="shared" si="0"/>
        <v>A0000__Reporting-GA4Pageview_UpdateMasterDE</v>
      </c>
      <c r="C53" t="s">
        <v>178</v>
      </c>
      <c r="H53" t="s">
        <v>81</v>
      </c>
      <c r="I53" s="1" t="s">
        <v>82</v>
      </c>
      <c r="M53" t="s">
        <v>83</v>
      </c>
      <c r="S53" s="42"/>
    </row>
    <row r="54" spans="1:19">
      <c r="A54" s="40" t="str">
        <f t="shared" si="0"/>
        <v>A0000__Everest-EmailDeliverability_MonitoringGeneral</v>
      </c>
      <c r="C54" t="s">
        <v>179</v>
      </c>
      <c r="H54" t="s">
        <v>81</v>
      </c>
      <c r="I54" s="1" t="s">
        <v>82</v>
      </c>
      <c r="M54" t="s">
        <v>83</v>
      </c>
      <c r="S54" s="42"/>
    </row>
    <row r="55" spans="1:19">
      <c r="A55" s="40" t="str">
        <f t="shared" si="0"/>
        <v>A0000__Reporting-GA4DataOnboarding</v>
      </c>
      <c r="C55" t="s">
        <v>180</v>
      </c>
      <c r="H55" t="s">
        <v>81</v>
      </c>
      <c r="I55" s="1" t="s">
        <v>82</v>
      </c>
      <c r="M55" t="s">
        <v>83</v>
      </c>
      <c r="S55" s="42"/>
    </row>
    <row r="56" spans="1:19">
      <c r="A56" s="40" t="str">
        <f t="shared" si="0"/>
        <v>A0000__Reporting-GlobalClicks</v>
      </c>
      <c r="C56" t="s">
        <v>181</v>
      </c>
      <c r="H56" t="s">
        <v>182</v>
      </c>
      <c r="I56" s="1">
        <v>44669.578529085651</v>
      </c>
      <c r="M56" t="s">
        <v>86</v>
      </c>
      <c r="S56" s="42"/>
    </row>
    <row r="57" spans="1:19">
      <c r="A57" s="40" t="str">
        <f t="shared" si="0"/>
        <v>A0000__Reporting-Leads-ClosedStatusV2</v>
      </c>
      <c r="C57" t="s">
        <v>183</v>
      </c>
      <c r="H57" t="s">
        <v>184</v>
      </c>
      <c r="I57" s="1">
        <v>45436.408198807869</v>
      </c>
      <c r="M57" t="s">
        <v>86</v>
      </c>
      <c r="S57" s="42"/>
    </row>
    <row r="58" spans="1:19">
      <c r="A58" s="40" t="str">
        <f t="shared" si="0"/>
        <v>A0000__SFupdate-Emailchange_Invalid_Valid</v>
      </c>
      <c r="C58" t="s">
        <v>185</v>
      </c>
      <c r="H58" t="s">
        <v>186</v>
      </c>
      <c r="I58" s="1">
        <v>45077.438769363427</v>
      </c>
      <c r="M58" t="s">
        <v>86</v>
      </c>
      <c r="S58" s="42"/>
    </row>
    <row r="59" spans="1:19">
      <c r="A59" s="40" t="str">
        <f t="shared" si="0"/>
        <v>A0000__Reporting-GA4Event_UpdateMasterDE</v>
      </c>
      <c r="C59" t="s">
        <v>187</v>
      </c>
      <c r="H59" t="s">
        <v>81</v>
      </c>
      <c r="I59" s="1" t="s">
        <v>82</v>
      </c>
      <c r="M59" t="s">
        <v>83</v>
      </c>
      <c r="S59" s="42"/>
    </row>
    <row r="60" spans="1:19">
      <c r="A60" s="40" t="str">
        <f t="shared" si="0"/>
        <v>A0000__CentralizedFormProcessor-Extract</v>
      </c>
      <c r="C60" t="s">
        <v>188</v>
      </c>
      <c r="H60" t="s">
        <v>189</v>
      </c>
      <c r="I60" s="1">
        <v>45538.251964236108</v>
      </c>
      <c r="M60" t="s">
        <v>86</v>
      </c>
      <c r="S60" s="42"/>
    </row>
    <row r="61" spans="1:19">
      <c r="A61" s="40" t="str">
        <f t="shared" si="0"/>
        <v>A0000__Everest-EmailDeliverability_UniqueEmailAddressMostRecentRunDate</v>
      </c>
      <c r="C61" t="s">
        <v>190</v>
      </c>
      <c r="H61" t="s">
        <v>191</v>
      </c>
      <c r="I61" s="1">
        <v>44635.601656712963</v>
      </c>
      <c r="M61" t="s">
        <v>86</v>
      </c>
      <c r="S61" s="42"/>
    </row>
    <row r="62" spans="1:19">
      <c r="A62" s="40" t="str">
        <f t="shared" si="0"/>
        <v>A0000__CVENT-Import</v>
      </c>
      <c r="C62" t="s">
        <v>192</v>
      </c>
      <c r="H62" t="s">
        <v>81</v>
      </c>
      <c r="I62" s="1" t="s">
        <v>82</v>
      </c>
      <c r="M62" t="s">
        <v>83</v>
      </c>
      <c r="S62" s="42"/>
    </row>
    <row r="63" spans="1:19">
      <c r="A63" s="40" t="str">
        <f t="shared" si="0"/>
        <v>A0000__ExactTarget-JobIDCampaignID</v>
      </c>
      <c r="C63" t="s">
        <v>193</v>
      </c>
      <c r="H63" t="s">
        <v>194</v>
      </c>
      <c r="I63" s="1">
        <v>44607.727881481478</v>
      </c>
      <c r="M63" t="s">
        <v>86</v>
      </c>
      <c r="S63" s="42"/>
    </row>
    <row r="64" spans="1:19">
      <c r="A64" s="40" t="str">
        <f t="shared" si="0"/>
        <v>A0000__Reporting-TaxBenchmarkingInprogres_UpdateMasterDE</v>
      </c>
      <c r="C64" t="s">
        <v>195</v>
      </c>
      <c r="H64" t="s">
        <v>81</v>
      </c>
      <c r="I64" s="1" t="s">
        <v>82</v>
      </c>
      <c r="M64" t="s">
        <v>83</v>
      </c>
      <c r="S64" s="42"/>
    </row>
    <row r="65" spans="1:19">
      <c r="A65" s="40" t="str">
        <f t="shared" si="0"/>
        <v>A0000__Reporting-IntradoActivity_UpdateMasterDE</v>
      </c>
      <c r="C65" t="s">
        <v>196</v>
      </c>
      <c r="H65" t="s">
        <v>81</v>
      </c>
      <c r="I65" s="1" t="s">
        <v>82</v>
      </c>
      <c r="M65" t="s">
        <v>83</v>
      </c>
      <c r="S65" s="42"/>
    </row>
    <row r="66" spans="1:19">
      <c r="A66" s="40" t="str">
        <f t="shared" si="0"/>
        <v>A0000__Reporting-TaxBenchmarkingCompleted_Import</v>
      </c>
      <c r="C66" t="s">
        <v>197</v>
      </c>
      <c r="H66" t="s">
        <v>81</v>
      </c>
      <c r="I66" s="1" t="s">
        <v>82</v>
      </c>
      <c r="M66" t="s">
        <v>83</v>
      </c>
      <c r="S66" s="42"/>
    </row>
    <row r="67" spans="1:19">
      <c r="A67" s="40" t="str">
        <f t="shared" si="0"/>
        <v>A0000__Reporting-ExeEdu-OnlineClassCompletion</v>
      </c>
      <c r="C67" t="s">
        <v>198</v>
      </c>
      <c r="H67" t="s">
        <v>81</v>
      </c>
      <c r="I67" s="1" t="s">
        <v>82</v>
      </c>
      <c r="M67" t="s">
        <v>83</v>
      </c>
      <c r="S67" s="42"/>
    </row>
    <row r="68" spans="1:19">
      <c r="A68" s="40" t="str">
        <f t="shared" ref="A68:A131" si="1">CONCATENATE("A",TEXT(B68, "0000"),"__",C68)</f>
        <v>A0000__Reporting-PIERegAttended_UpdateMasterDE</v>
      </c>
      <c r="C68" t="s">
        <v>199</v>
      </c>
      <c r="H68" t="s">
        <v>81</v>
      </c>
      <c r="I68" s="1" t="s">
        <v>82</v>
      </c>
      <c r="M68" t="s">
        <v>83</v>
      </c>
      <c r="S68" s="42"/>
    </row>
    <row r="69" spans="1:19">
      <c r="A69" s="40" t="str">
        <f t="shared" si="1"/>
        <v>A0000__Reporting-FileImportUT</v>
      </c>
      <c r="C69" t="s">
        <v>200</v>
      </c>
      <c r="H69" t="s">
        <v>81</v>
      </c>
      <c r="I69" s="1" t="s">
        <v>82</v>
      </c>
      <c r="M69" t="s">
        <v>83</v>
      </c>
      <c r="S69" s="42"/>
    </row>
    <row r="70" spans="1:19">
      <c r="A70" s="40" t="str">
        <f t="shared" si="1"/>
        <v>A0000__Reporting-Intrado-Cleanup</v>
      </c>
      <c r="C70" t="s">
        <v>201</v>
      </c>
      <c r="H70" t="s">
        <v>81</v>
      </c>
      <c r="I70" s="1">
        <v>46000.338796261574</v>
      </c>
      <c r="M70" t="s">
        <v>86</v>
      </c>
      <c r="S70" s="42"/>
    </row>
    <row r="71" spans="1:19">
      <c r="A71" s="40" t="str">
        <f t="shared" si="1"/>
        <v>A0000__Suppression-InvalidEmail_MASTER</v>
      </c>
      <c r="C71" t="s">
        <v>202</v>
      </c>
      <c r="H71" t="s">
        <v>203</v>
      </c>
      <c r="I71" s="1">
        <v>44641.455567476849</v>
      </c>
      <c r="M71" t="s">
        <v>86</v>
      </c>
      <c r="S71" s="42"/>
    </row>
    <row r="72" spans="1:19">
      <c r="A72" s="40" t="str">
        <f t="shared" si="1"/>
        <v>A0000__Suppression-InvalidEmail_CPEUsageType</v>
      </c>
      <c r="C72" t="s">
        <v>204</v>
      </c>
      <c r="H72" t="s">
        <v>205</v>
      </c>
      <c r="I72" s="1">
        <v>44755.378742129629</v>
      </c>
      <c r="M72" t="s">
        <v>86</v>
      </c>
      <c r="S72" s="42"/>
    </row>
    <row r="73" spans="1:19">
      <c r="A73" s="40" t="str">
        <f t="shared" si="1"/>
        <v>A0000__Segmentation-ReEngage</v>
      </c>
      <c r="C73" t="s">
        <v>206</v>
      </c>
      <c r="H73" t="s">
        <v>81</v>
      </c>
      <c r="I73" s="1" t="s">
        <v>82</v>
      </c>
      <c r="M73" t="s">
        <v>83</v>
      </c>
      <c r="S73" s="42"/>
    </row>
    <row r="74" spans="1:19">
      <c r="A74" s="40" t="str">
        <f t="shared" si="1"/>
        <v>A0000__Consent-StatusOptIn</v>
      </c>
      <c r="C74" t="s">
        <v>207</v>
      </c>
      <c r="H74" t="s">
        <v>208</v>
      </c>
      <c r="I74" s="1">
        <v>44621.319487349538</v>
      </c>
      <c r="M74" t="s">
        <v>86</v>
      </c>
      <c r="S74" s="42"/>
    </row>
    <row r="75" spans="1:19">
      <c r="A75" s="40" t="str">
        <f t="shared" si="1"/>
        <v>A0000__Consent-StatusOptOut</v>
      </c>
      <c r="C75" t="s">
        <v>209</v>
      </c>
      <c r="H75" t="s">
        <v>210</v>
      </c>
      <c r="I75" s="1">
        <v>44585.279267939812</v>
      </c>
      <c r="M75" t="s">
        <v>86</v>
      </c>
      <c r="S75" s="42"/>
    </row>
    <row r="76" spans="1:19">
      <c r="A76" s="40" t="str">
        <f t="shared" si="1"/>
        <v>A0000__Reporting-PIEMembership_UpdateMasterDE</v>
      </c>
      <c r="C76" t="s">
        <v>211</v>
      </c>
      <c r="H76" t="s">
        <v>81</v>
      </c>
      <c r="I76" s="1" t="s">
        <v>82</v>
      </c>
      <c r="M76" t="s">
        <v>83</v>
      </c>
      <c r="S76" s="42"/>
    </row>
    <row r="77" spans="1:19">
      <c r="A77" s="40" t="str">
        <f t="shared" si="1"/>
        <v>A0000__Segmentation-ReEngagement_RecordsUpdate</v>
      </c>
      <c r="C77" t="s">
        <v>212</v>
      </c>
      <c r="H77" t="s">
        <v>213</v>
      </c>
      <c r="I77" s="1">
        <v>45952.397544363426</v>
      </c>
      <c r="M77" t="s">
        <v>86</v>
      </c>
      <c r="S77" s="42"/>
    </row>
    <row r="78" spans="1:19">
      <c r="A78" s="40" t="str">
        <f t="shared" si="1"/>
        <v>A0000__Reporting-QualtricsResponses_UpdateMasterDE</v>
      </c>
      <c r="C78" t="s">
        <v>214</v>
      </c>
      <c r="H78" t="s">
        <v>81</v>
      </c>
      <c r="I78" s="1" t="s">
        <v>82</v>
      </c>
      <c r="M78" t="s">
        <v>83</v>
      </c>
      <c r="S78" s="42"/>
    </row>
    <row r="79" spans="1:19">
      <c r="A79" s="40" t="str">
        <f t="shared" si="1"/>
        <v>A0000__Segmentation-Anteriad_Nurtures</v>
      </c>
      <c r="C79" t="s">
        <v>215</v>
      </c>
      <c r="H79" t="s">
        <v>216</v>
      </c>
      <c r="I79" s="1">
        <v>45868.549046608794</v>
      </c>
      <c r="M79" t="s">
        <v>86</v>
      </c>
      <c r="S79" s="42"/>
    </row>
    <row r="80" spans="1:19">
      <c r="A80" s="40" t="str">
        <f t="shared" si="1"/>
        <v>A0000__CVENT-TempLoad</v>
      </c>
      <c r="C80" t="s">
        <v>217</v>
      </c>
      <c r="H80" t="s">
        <v>81</v>
      </c>
      <c r="I80" s="1" t="s">
        <v>82</v>
      </c>
      <c r="M80" t="s">
        <v>83</v>
      </c>
      <c r="S80" s="42"/>
    </row>
    <row r="81" spans="1:19">
      <c r="A81" s="40" t="str">
        <f t="shared" si="1"/>
        <v>A0000__Reporting-MiscellaneousDataLoads</v>
      </c>
      <c r="C81" t="s">
        <v>218</v>
      </c>
      <c r="H81" t="s">
        <v>81</v>
      </c>
      <c r="I81" s="1" t="s">
        <v>82</v>
      </c>
      <c r="M81" t="s">
        <v>83</v>
      </c>
      <c r="S81" s="42"/>
    </row>
    <row r="82" spans="1:19">
      <c r="A82" s="40" t="str">
        <f t="shared" si="1"/>
        <v>A0000__Repoting-ExeEduCompletionActivity_UpdateMasterDE</v>
      </c>
      <c r="C82" t="s">
        <v>219</v>
      </c>
      <c r="H82" t="s">
        <v>81</v>
      </c>
      <c r="I82" s="1" t="s">
        <v>82</v>
      </c>
      <c r="M82" t="s">
        <v>83</v>
      </c>
      <c r="S82" s="42"/>
    </row>
    <row r="83" spans="1:19">
      <c r="A83" s="40" t="str">
        <f t="shared" si="1"/>
        <v>A0000__Reporting-ExeEdu-Registration</v>
      </c>
      <c r="C83" t="s">
        <v>220</v>
      </c>
      <c r="H83" t="s">
        <v>81</v>
      </c>
      <c r="I83" s="1" t="s">
        <v>82</v>
      </c>
      <c r="M83" t="s">
        <v>83</v>
      </c>
      <c r="S83" s="42"/>
    </row>
    <row r="84" spans="1:19">
      <c r="A84" s="40" t="str">
        <f t="shared" si="1"/>
        <v>A0000__Reporting-Pageview_UpdateMasterDE</v>
      </c>
      <c r="C84" t="s">
        <v>221</v>
      </c>
      <c r="H84" t="s">
        <v>81</v>
      </c>
      <c r="I84" s="1" t="s">
        <v>82</v>
      </c>
      <c r="M84" t="s">
        <v>83</v>
      </c>
      <c r="S84" s="42"/>
    </row>
    <row r="85" spans="1:19">
      <c r="A85" s="40" t="str">
        <f t="shared" si="1"/>
        <v>A0000__EmailActivity-OptOuts_LeadsContacts</v>
      </c>
      <c r="C85" t="s">
        <v>222</v>
      </c>
      <c r="H85" t="s">
        <v>223</v>
      </c>
      <c r="I85" s="1">
        <v>45588.499319016206</v>
      </c>
      <c r="M85" t="s">
        <v>86</v>
      </c>
      <c r="S85" s="42"/>
    </row>
    <row r="86" spans="1:19">
      <c r="A86" s="40" t="str">
        <f t="shared" si="1"/>
        <v>A0000__Reporting-GA360Event_UpdateMasterDE</v>
      </c>
      <c r="C86" t="s">
        <v>224</v>
      </c>
      <c r="H86" t="s">
        <v>81</v>
      </c>
      <c r="I86" s="1" t="s">
        <v>82</v>
      </c>
      <c r="M86" t="s">
        <v>83</v>
      </c>
      <c r="S86" s="42"/>
    </row>
    <row r="87" spans="1:19">
      <c r="A87" s="40" t="str">
        <f t="shared" si="1"/>
        <v>A0000__Reporting-Erepublic_UpdateMasterDE</v>
      </c>
      <c r="C87" t="s">
        <v>225</v>
      </c>
      <c r="H87" t="s">
        <v>81</v>
      </c>
      <c r="I87" s="1" t="s">
        <v>82</v>
      </c>
      <c r="M87" t="s">
        <v>83</v>
      </c>
      <c r="S87" s="42"/>
    </row>
    <row r="88" spans="1:19">
      <c r="A88" s="40" t="str">
        <f t="shared" si="1"/>
        <v>A0000__Reporting-AlumniIneligibleDeceased_Import</v>
      </c>
      <c r="C88" t="s">
        <v>226</v>
      </c>
      <c r="H88" t="s">
        <v>81</v>
      </c>
      <c r="I88" s="1" t="s">
        <v>82</v>
      </c>
      <c r="M88" t="s">
        <v>83</v>
      </c>
      <c r="S88" s="42"/>
    </row>
    <row r="89" spans="1:19">
      <c r="A89" s="40" t="str">
        <f t="shared" si="1"/>
        <v>A0000__Reporting-Active Handraisers - KPMG US Webform Submissions</v>
      </c>
      <c r="C89" t="s">
        <v>227</v>
      </c>
      <c r="H89" t="s">
        <v>228</v>
      </c>
      <c r="I89" s="1">
        <v>44495.379018402775</v>
      </c>
      <c r="M89" t="s">
        <v>86</v>
      </c>
      <c r="S89" s="42"/>
    </row>
    <row r="90" spans="1:19">
      <c r="A90" s="40" t="str">
        <f t="shared" si="1"/>
        <v>A0000__Reporting-CMO-UpdateMasterDE</v>
      </c>
      <c r="C90" t="s">
        <v>229</v>
      </c>
      <c r="H90" t="s">
        <v>81</v>
      </c>
      <c r="I90" s="1" t="s">
        <v>82</v>
      </c>
      <c r="M90" t="s">
        <v>83</v>
      </c>
      <c r="S90" s="42"/>
    </row>
    <row r="91" spans="1:19">
      <c r="A91" s="40" t="str">
        <f t="shared" si="1"/>
        <v>A0000__Reporting-MKTDataQC</v>
      </c>
      <c r="C91" t="s">
        <v>230</v>
      </c>
      <c r="H91" t="s">
        <v>231</v>
      </c>
      <c r="I91" s="1">
        <v>44637.847486226849</v>
      </c>
      <c r="M91" t="s">
        <v>86</v>
      </c>
      <c r="S91" s="42"/>
    </row>
    <row r="92" spans="1:19">
      <c r="A92" s="40" t="str">
        <f t="shared" si="1"/>
        <v>A0000__Reporting-EmailEngagedActivities</v>
      </c>
      <c r="C92" t="s">
        <v>232</v>
      </c>
      <c r="H92" t="s">
        <v>233</v>
      </c>
      <c r="I92" s="1">
        <v>45043.505340312498</v>
      </c>
      <c r="M92" t="s">
        <v>86</v>
      </c>
      <c r="S92" s="42"/>
    </row>
    <row r="93" spans="1:19">
      <c r="A93" s="40" t="str">
        <f t="shared" si="1"/>
        <v>A0000__Reporting-GovExec_UpdateMasterDE</v>
      </c>
      <c r="C93" t="s">
        <v>234</v>
      </c>
      <c r="H93" t="s">
        <v>81</v>
      </c>
      <c r="I93" s="1" t="s">
        <v>82</v>
      </c>
      <c r="M93" t="s">
        <v>83</v>
      </c>
      <c r="S93" s="42"/>
    </row>
    <row r="94" spans="1:19">
      <c r="A94" s="40" t="str">
        <f t="shared" si="1"/>
        <v>A0000__SFIDValidation-NEEDQProcess-SFIDValidate</v>
      </c>
      <c r="C94" t="s">
        <v>235</v>
      </c>
      <c r="H94" t="s">
        <v>236</v>
      </c>
      <c r="I94" s="1">
        <v>45688.162243206018</v>
      </c>
      <c r="M94" t="s">
        <v>86</v>
      </c>
      <c r="S94" s="42"/>
    </row>
    <row r="95" spans="1:19">
      <c r="A95" s="40" t="str">
        <f t="shared" si="1"/>
        <v>A0000__Reporting-JiffleNow-UpdateMasterDE</v>
      </c>
      <c r="C95" t="s">
        <v>237</v>
      </c>
      <c r="H95" t="s">
        <v>81</v>
      </c>
      <c r="I95" s="1" t="s">
        <v>82</v>
      </c>
      <c r="M95" t="s">
        <v>83</v>
      </c>
      <c r="S95" s="42"/>
    </row>
    <row r="96" spans="1:19">
      <c r="A96" s="40" t="str">
        <f t="shared" si="1"/>
        <v>A0000__Repoting-URLCampaignMapping</v>
      </c>
      <c r="C96" t="s">
        <v>238</v>
      </c>
      <c r="H96" t="s">
        <v>81</v>
      </c>
      <c r="I96" s="1" t="s">
        <v>82</v>
      </c>
      <c r="M96" t="s">
        <v>83</v>
      </c>
      <c r="S96" s="42"/>
    </row>
    <row r="97" spans="1:19">
      <c r="A97" s="40" t="str">
        <f t="shared" si="1"/>
        <v>A0000__Repoting-TrainingIndustry_UpdateMasterDE</v>
      </c>
      <c r="C97" t="s">
        <v>239</v>
      </c>
      <c r="H97" t="s">
        <v>81</v>
      </c>
      <c r="I97" s="1" t="s">
        <v>82</v>
      </c>
      <c r="M97" t="s">
        <v>83</v>
      </c>
      <c r="S97" s="42"/>
    </row>
    <row r="98" spans="1:19">
      <c r="A98" s="40" t="str">
        <f t="shared" si="1"/>
        <v>A0000__Campaign-General</v>
      </c>
      <c r="C98" t="s">
        <v>240</v>
      </c>
      <c r="H98" t="s">
        <v>81</v>
      </c>
      <c r="I98" s="1" t="s">
        <v>82</v>
      </c>
      <c r="M98" t="s">
        <v>83</v>
      </c>
      <c r="S98" s="42"/>
    </row>
    <row r="99" spans="1:19">
      <c r="A99" s="40" t="str">
        <f t="shared" si="1"/>
        <v>A0000__Admin-Reset_HeldActiveInvalidEmailMarketingCloud</v>
      </c>
      <c r="C99" t="s">
        <v>241</v>
      </c>
      <c r="H99" t="s">
        <v>242</v>
      </c>
      <c r="I99" s="1">
        <v>45082.280681365737</v>
      </c>
      <c r="M99" t="s">
        <v>86</v>
      </c>
      <c r="S99" s="42"/>
    </row>
    <row r="100" spans="1:19">
      <c r="A100" s="40" t="str">
        <f t="shared" si="1"/>
        <v>A0000__CampaignMember-General</v>
      </c>
      <c r="C100" t="s">
        <v>243</v>
      </c>
      <c r="H100" t="s">
        <v>81</v>
      </c>
      <c r="I100" s="1" t="s">
        <v>82</v>
      </c>
      <c r="M100" t="s">
        <v>83</v>
      </c>
      <c r="S100" s="42"/>
    </row>
    <row r="101" spans="1:19">
      <c r="A101" s="40" t="str">
        <f t="shared" si="1"/>
        <v>A0000__Repoting-TrueInfluenceActivity_UpdateMasterDE</v>
      </c>
      <c r="C101" t="s">
        <v>244</v>
      </c>
      <c r="H101" t="s">
        <v>81</v>
      </c>
      <c r="I101" s="1" t="s">
        <v>82</v>
      </c>
      <c r="M101" t="s">
        <v>83</v>
      </c>
      <c r="S101" s="42"/>
    </row>
    <row r="102" spans="1:19">
      <c r="A102" s="40" t="str">
        <f t="shared" si="1"/>
        <v>A0000__Reporting-GoogleFormSubmit_UpdateMasterDE</v>
      </c>
      <c r="C102" t="s">
        <v>245</v>
      </c>
      <c r="H102" t="s">
        <v>81</v>
      </c>
      <c r="I102" s="1" t="s">
        <v>82</v>
      </c>
      <c r="M102" t="s">
        <v>83</v>
      </c>
      <c r="S102" s="42"/>
    </row>
    <row r="103" spans="1:19">
      <c r="A103" s="40" t="str">
        <f t="shared" si="1"/>
        <v>A0000__Reporting-EloquaOrganic_UpdateMasterDE</v>
      </c>
      <c r="C103" t="s">
        <v>246</v>
      </c>
      <c r="H103" t="s">
        <v>81</v>
      </c>
      <c r="I103" s="1" t="s">
        <v>82</v>
      </c>
      <c r="M103" t="s">
        <v>83</v>
      </c>
      <c r="S103" s="42"/>
    </row>
    <row r="104" spans="1:19">
      <c r="A104" s="40" t="str">
        <f t="shared" si="1"/>
        <v>A0000__Reporting-DemandWorks_UpdateMasterDE</v>
      </c>
      <c r="C104" t="s">
        <v>247</v>
      </c>
      <c r="H104" t="s">
        <v>81</v>
      </c>
      <c r="I104" s="1" t="s">
        <v>82</v>
      </c>
      <c r="M104" t="s">
        <v>83</v>
      </c>
      <c r="S104" s="42"/>
    </row>
    <row r="105" spans="1:19">
      <c r="A105" s="40" t="str">
        <f t="shared" si="1"/>
        <v>A0000__Reporting-MeritB2B_UpdateMasterDE</v>
      </c>
      <c r="C105" t="s">
        <v>248</v>
      </c>
      <c r="H105" t="s">
        <v>81</v>
      </c>
      <c r="I105" s="1" t="s">
        <v>82</v>
      </c>
      <c r="M105" t="s">
        <v>83</v>
      </c>
      <c r="S105" s="42"/>
    </row>
    <row r="106" spans="1:19">
      <c r="A106" s="40" t="str">
        <f t="shared" si="1"/>
        <v>A0000__Reporting-GoogleAds_UpdateMasterDE</v>
      </c>
      <c r="C106" t="s">
        <v>249</v>
      </c>
      <c r="H106" t="s">
        <v>81</v>
      </c>
      <c r="I106" s="1" t="s">
        <v>82</v>
      </c>
      <c r="M106" t="s">
        <v>83</v>
      </c>
      <c r="S106" s="42"/>
    </row>
    <row r="107" spans="1:19">
      <c r="A107" s="40" t="str">
        <f t="shared" si="1"/>
        <v>A0000__Admin-ContactsWithoutChannelAddresses</v>
      </c>
      <c r="C107" t="s">
        <v>250</v>
      </c>
      <c r="H107" t="s">
        <v>251</v>
      </c>
      <c r="I107" s="1">
        <v>44784.331568981484</v>
      </c>
      <c r="M107" t="s">
        <v>86</v>
      </c>
      <c r="S107" s="42"/>
    </row>
    <row r="108" spans="1:19">
      <c r="A108" s="40" t="str">
        <f t="shared" si="1"/>
        <v>A0000__Segmentation-Untapped-Potential</v>
      </c>
      <c r="C108" t="s">
        <v>252</v>
      </c>
      <c r="H108" t="s">
        <v>81</v>
      </c>
      <c r="I108" s="1">
        <v>45741.493365358794</v>
      </c>
      <c r="M108" t="s">
        <v>86</v>
      </c>
      <c r="S108" s="42"/>
    </row>
    <row r="109" spans="1:19">
      <c r="A109" s="40" t="str">
        <f t="shared" si="1"/>
        <v>A0000__Reporting-NAHRES_UpdateMasterDE</v>
      </c>
      <c r="C109" t="s">
        <v>253</v>
      </c>
      <c r="H109" t="s">
        <v>81</v>
      </c>
      <c r="I109" s="1" t="s">
        <v>82</v>
      </c>
      <c r="M109" t="s">
        <v>83</v>
      </c>
      <c r="S109" s="42"/>
    </row>
    <row r="110" spans="1:19">
      <c r="A110" s="40" t="str">
        <f t="shared" si="1"/>
        <v>A0000__Reporting-ZoomInfo_UpdateMasterDE</v>
      </c>
      <c r="C110" t="s">
        <v>254</v>
      </c>
      <c r="H110" t="s">
        <v>81</v>
      </c>
      <c r="I110" s="1" t="s">
        <v>82</v>
      </c>
      <c r="M110" t="s">
        <v>83</v>
      </c>
      <c r="S110" s="42"/>
    </row>
    <row r="111" spans="1:19">
      <c r="A111" s="40" t="str">
        <f t="shared" si="1"/>
        <v>A0000__Admin-DataView_General</v>
      </c>
      <c r="C111" t="s">
        <v>255</v>
      </c>
      <c r="H111" t="s">
        <v>81</v>
      </c>
      <c r="I111" s="1">
        <v>44858.627180289353</v>
      </c>
      <c r="M111" t="s">
        <v>86</v>
      </c>
      <c r="S111" s="42"/>
    </row>
    <row r="112" spans="1:19">
      <c r="A112" s="40" t="str">
        <f t="shared" si="1"/>
        <v>A0000__Admin-DEArchive</v>
      </c>
      <c r="C112" t="s">
        <v>256</v>
      </c>
      <c r="H112" t="s">
        <v>257</v>
      </c>
      <c r="I112" s="1">
        <v>45783.42578140046</v>
      </c>
      <c r="M112" t="s">
        <v>86</v>
      </c>
      <c r="S112" s="42"/>
    </row>
    <row r="113" spans="1:19">
      <c r="A113" s="40" t="str">
        <f t="shared" si="1"/>
        <v>A0000__Reporting-SmartBrief_UpdateMasterDE</v>
      </c>
      <c r="C113" t="s">
        <v>258</v>
      </c>
      <c r="H113" t="s">
        <v>81</v>
      </c>
      <c r="I113" s="1" t="s">
        <v>82</v>
      </c>
      <c r="M113" t="s">
        <v>83</v>
      </c>
      <c r="S113" s="42"/>
    </row>
    <row r="114" spans="1:19">
      <c r="A114" s="40" t="str">
        <f t="shared" si="1"/>
        <v>A0000__LinkedIn-FilterDEs</v>
      </c>
      <c r="C114" t="s">
        <v>259</v>
      </c>
      <c r="H114" t="s">
        <v>260</v>
      </c>
      <c r="I114" s="1">
        <v>44869.39987577546</v>
      </c>
      <c r="M114" t="s">
        <v>86</v>
      </c>
      <c r="S114" s="42"/>
    </row>
    <row r="115" spans="1:19">
      <c r="A115" s="40" t="str">
        <f t="shared" si="1"/>
        <v>A0000__Reporting-Facebook-FormSubmit</v>
      </c>
      <c r="C115" t="s">
        <v>261</v>
      </c>
      <c r="H115" t="s">
        <v>81</v>
      </c>
      <c r="I115" s="1" t="s">
        <v>82</v>
      </c>
      <c r="M115" t="s">
        <v>83</v>
      </c>
      <c r="S115" s="42"/>
    </row>
    <row r="116" spans="1:19">
      <c r="A116" s="40" t="str">
        <f t="shared" si="1"/>
        <v>A0000__Admin-MetaDataCopy</v>
      </c>
      <c r="C116" t="s">
        <v>262</v>
      </c>
      <c r="H116" t="s">
        <v>81</v>
      </c>
      <c r="I116" s="1">
        <v>45882.963745752313</v>
      </c>
      <c r="M116" t="s">
        <v>89</v>
      </c>
      <c r="S116" s="42"/>
    </row>
    <row r="117" spans="1:19">
      <c r="A117" s="40" t="str">
        <f t="shared" si="1"/>
        <v>A0000__CentralizedFormProcessor-Update-MasterDE</v>
      </c>
      <c r="C117" t="s">
        <v>263</v>
      </c>
      <c r="H117" t="s">
        <v>264</v>
      </c>
      <c r="I117" s="1">
        <v>44784.778532407407</v>
      </c>
      <c r="M117" t="s">
        <v>86</v>
      </c>
      <c r="S117" s="42"/>
    </row>
    <row r="118" spans="1:19">
      <c r="A118" s="40" t="str">
        <f t="shared" si="1"/>
        <v>A0000__EmailActivity-ExtractMCFTP</v>
      </c>
      <c r="C118" t="s">
        <v>265</v>
      </c>
      <c r="H118" t="s">
        <v>266</v>
      </c>
      <c r="I118" s="1">
        <v>45524.961403090281</v>
      </c>
      <c r="M118" t="s">
        <v>86</v>
      </c>
      <c r="S118" s="42"/>
    </row>
    <row r="119" spans="1:19">
      <c r="A119" s="40" t="str">
        <f t="shared" si="1"/>
        <v>A0000__Admin-EmailEngagedActivities_Cleanup</v>
      </c>
      <c r="C119" t="s">
        <v>267</v>
      </c>
      <c r="H119" t="s">
        <v>81</v>
      </c>
      <c r="I119" s="1">
        <v>45987.814398530092</v>
      </c>
      <c r="M119" t="s">
        <v>86</v>
      </c>
      <c r="S119" s="42"/>
    </row>
    <row r="120" spans="1:19">
      <c r="A120" s="40" t="str">
        <f t="shared" si="1"/>
        <v>A0000__Admin-NonEmailEngagedActivities_Cleanup</v>
      </c>
      <c r="C120" t="s">
        <v>268</v>
      </c>
      <c r="H120" t="s">
        <v>81</v>
      </c>
      <c r="I120" s="1">
        <v>45987.803464930555</v>
      </c>
      <c r="M120" t="s">
        <v>86</v>
      </c>
      <c r="S120" s="42"/>
    </row>
    <row r="121" spans="1:19">
      <c r="A121" s="40" t="str">
        <f t="shared" si="1"/>
        <v>A0000__Admin-NonEmailEngagedActivities-ArchivedCampaignValidateV1</v>
      </c>
      <c r="C121" t="s">
        <v>269</v>
      </c>
      <c r="H121" t="s">
        <v>270</v>
      </c>
      <c r="I121" s="1">
        <v>45390.230274733796</v>
      </c>
      <c r="M121" t="s">
        <v>86</v>
      </c>
      <c r="S121" s="42"/>
    </row>
    <row r="122" spans="1:19">
      <c r="A122" s="40" t="str">
        <f t="shared" si="1"/>
        <v>A0000__Admin-DEV-DataViewsDaily</v>
      </c>
      <c r="C122" t="s">
        <v>271</v>
      </c>
      <c r="H122" t="s">
        <v>272</v>
      </c>
      <c r="I122" s="1">
        <v>45981.516788969908</v>
      </c>
      <c r="M122" t="s">
        <v>86</v>
      </c>
      <c r="S122" s="42"/>
    </row>
    <row r="123" spans="1:19">
      <c r="A123" s="40" t="str">
        <f t="shared" si="1"/>
        <v>A0000__Reporting-ConsumerGoodsTechnology-CGT-UpdateMasterDE</v>
      </c>
      <c r="C123" t="s">
        <v>273</v>
      </c>
      <c r="H123" t="s">
        <v>81</v>
      </c>
      <c r="I123" s="1" t="s">
        <v>82</v>
      </c>
      <c r="M123" t="s">
        <v>83</v>
      </c>
      <c r="S123" s="42"/>
    </row>
    <row r="124" spans="1:19">
      <c r="A124" s="40" t="str">
        <f t="shared" si="1"/>
        <v>A0000__Segmentation-Segmentation-TaxNewsFlash-Africa</v>
      </c>
      <c r="C124" t="s">
        <v>274</v>
      </c>
      <c r="H124" t="s">
        <v>81</v>
      </c>
      <c r="I124" s="1">
        <v>44658.464156828704</v>
      </c>
      <c r="M124" t="s">
        <v>86</v>
      </c>
      <c r="S124" s="42"/>
    </row>
    <row r="125" spans="1:19">
      <c r="A125" s="40" t="str">
        <f t="shared" si="1"/>
        <v>A0000__Segmentation-Segmentation-TaxNewsFlash-AltInvTaxMattersPEHF</v>
      </c>
      <c r="C125" t="s">
        <v>275</v>
      </c>
      <c r="H125" t="s">
        <v>81</v>
      </c>
      <c r="I125" s="1">
        <v>44994.407815162034</v>
      </c>
      <c r="M125" t="s">
        <v>86</v>
      </c>
      <c r="S125" s="42"/>
    </row>
    <row r="126" spans="1:19">
      <c r="A126" s="40" t="str">
        <f t="shared" si="1"/>
        <v>A0000__Segmentation-Segmentation-TaxNewsFlash-Americas</v>
      </c>
      <c r="C126" t="s">
        <v>276</v>
      </c>
      <c r="H126" t="s">
        <v>81</v>
      </c>
      <c r="I126" s="1">
        <v>44658.481480208335</v>
      </c>
      <c r="M126" t="s">
        <v>86</v>
      </c>
      <c r="S126" s="42"/>
    </row>
    <row r="127" spans="1:19">
      <c r="A127" s="40" t="str">
        <f t="shared" si="1"/>
        <v>A0000__Segmentation-Segmentation-TaxNewsFlash-AsiaPacific</v>
      </c>
      <c r="C127" t="s">
        <v>277</v>
      </c>
      <c r="H127" t="s">
        <v>81</v>
      </c>
      <c r="I127" s="1">
        <v>44658.501012962966</v>
      </c>
      <c r="M127" t="s">
        <v>86</v>
      </c>
      <c r="S127" s="42"/>
    </row>
    <row r="128" spans="1:19">
      <c r="A128" s="40" t="str">
        <f t="shared" si="1"/>
        <v>A0000__Segmentation-Segmentation-TaxNewsFlash-BEPS</v>
      </c>
      <c r="C128" t="s">
        <v>278</v>
      </c>
      <c r="H128" t="s">
        <v>81</v>
      </c>
      <c r="I128" s="1">
        <v>44658.529072141202</v>
      </c>
      <c r="M128" t="s">
        <v>86</v>
      </c>
      <c r="S128" s="42"/>
    </row>
    <row r="129" spans="1:26">
      <c r="A129" s="40" t="str">
        <f t="shared" si="1"/>
        <v>A0000__Segmentation-Segmentation-TaxNewsFlash-BEPSTransferPricingCombined</v>
      </c>
      <c r="C129" t="s">
        <v>279</v>
      </c>
      <c r="H129" t="s">
        <v>81</v>
      </c>
      <c r="I129" s="1">
        <v>44658.542265162039</v>
      </c>
      <c r="M129" t="s">
        <v>86</v>
      </c>
      <c r="S129" s="42"/>
    </row>
    <row r="130" spans="1:26">
      <c r="A130" s="40" t="str">
        <f t="shared" si="1"/>
        <v>A0000__Segmentation-Segmentation-TaxNewsFlash-Cooperatives</v>
      </c>
      <c r="C130" t="s">
        <v>280</v>
      </c>
      <c r="H130" t="s">
        <v>81</v>
      </c>
      <c r="I130" s="1">
        <v>44658.533710648146</v>
      </c>
      <c r="M130" t="s">
        <v>86</v>
      </c>
      <c r="S130" s="42"/>
    </row>
    <row r="131" spans="1:26">
      <c r="A131" s="40" t="str">
        <f t="shared" si="1"/>
        <v>A0000__Segmentation-Segmentation-TaxNewsFlash-DigitalEconomy</v>
      </c>
      <c r="C131" t="s">
        <v>281</v>
      </c>
      <c r="H131" t="s">
        <v>81</v>
      </c>
      <c r="I131" s="1">
        <v>44658.532451585648</v>
      </c>
      <c r="M131" t="s">
        <v>86</v>
      </c>
      <c r="S131" s="42"/>
    </row>
    <row r="132" spans="1:26">
      <c r="A132" s="40" t="str">
        <f t="shared" ref="A132:A152" si="2">CONCATENATE("A",TEXT(B132, "0000"),"__",C132)</f>
        <v>A0000__Segmentation-Segmentation-TaxNewsFlash-DigitalizedEconomyIndirectTaxCombined</v>
      </c>
      <c r="C132" t="s">
        <v>282</v>
      </c>
      <c r="H132" t="s">
        <v>81</v>
      </c>
      <c r="I132" s="1">
        <v>44663.159027164351</v>
      </c>
      <c r="M132" t="s">
        <v>86</v>
      </c>
      <c r="S132" s="42"/>
    </row>
    <row r="133" spans="1:26">
      <c r="A133" s="40" t="str">
        <f t="shared" si="2"/>
        <v>A0000__Segmentation-Segmentation-TaxNewsFlash-Europe</v>
      </c>
      <c r="C133" t="s">
        <v>283</v>
      </c>
      <c r="H133" t="s">
        <v>81</v>
      </c>
      <c r="I133" s="1">
        <v>44658.538329976851</v>
      </c>
      <c r="M133" t="s">
        <v>86</v>
      </c>
      <c r="S133" s="42"/>
    </row>
    <row r="134" spans="1:26">
      <c r="A134" s="40" t="str">
        <f t="shared" si="2"/>
        <v>A0000__Segmentation-Segmentation-TaxNewsFlash-ExemptOrganizations</v>
      </c>
      <c r="C134" t="s">
        <v>284</v>
      </c>
      <c r="H134" t="s">
        <v>81</v>
      </c>
      <c r="I134" s="1">
        <v>44658.520698032407</v>
      </c>
      <c r="M134" t="s">
        <v>86</v>
      </c>
      <c r="S134" s="42"/>
    </row>
    <row r="135" spans="1:26">
      <c r="A135" s="40" t="str">
        <f t="shared" si="2"/>
        <v>A0000__Segmentation-Segmentation-TaxNewsFlash-FATCA</v>
      </c>
      <c r="C135" t="s">
        <v>285</v>
      </c>
      <c r="H135" t="s">
        <v>81</v>
      </c>
      <c r="I135" s="1">
        <v>44658.523368784721</v>
      </c>
      <c r="M135" t="s">
        <v>86</v>
      </c>
      <c r="S135" s="42"/>
    </row>
    <row r="136" spans="1:26">
      <c r="A136" s="40" t="str">
        <f t="shared" si="2"/>
        <v>A0000__Segmentation-Segmentation-TaxNewsFlash-IndirectTax</v>
      </c>
      <c r="C136" t="s">
        <v>286</v>
      </c>
      <c r="H136" t="s">
        <v>81</v>
      </c>
      <c r="I136" s="1">
        <v>44658.527509641201</v>
      </c>
      <c r="M136" t="s">
        <v>86</v>
      </c>
      <c r="S136" s="42"/>
    </row>
    <row r="137" spans="1:26">
      <c r="A137" s="40" t="str">
        <f t="shared" si="2"/>
        <v>A0000__Segmentation-Segmentation-TaxNewsFlash-SovereignWealthPensionFunds</v>
      </c>
      <c r="C137" t="s">
        <v>287</v>
      </c>
      <c r="H137" t="s">
        <v>81</v>
      </c>
      <c r="I137" s="1">
        <v>44658.59422554398</v>
      </c>
      <c r="M137" t="s">
        <v>86</v>
      </c>
      <c r="S137" s="42"/>
    </row>
    <row r="138" spans="1:26">
      <c r="A138" s="40" t="str">
        <f t="shared" si="2"/>
        <v>A0000__Segmentation-Segmentation-TaxNewsFlash-TaxControversy</v>
      </c>
      <c r="C138" t="s">
        <v>288</v>
      </c>
      <c r="H138" t="s">
        <v>81</v>
      </c>
      <c r="I138" s="1">
        <v>44658.530025925924</v>
      </c>
      <c r="M138" t="s">
        <v>86</v>
      </c>
      <c r="S138" s="42"/>
    </row>
    <row r="139" spans="1:26">
      <c r="A139" s="40" t="str">
        <f t="shared" si="2"/>
        <v>A0000__Segmentation-Segmentation-TaxNewsFlash-TradeCustoms</v>
      </c>
      <c r="C139" t="s">
        <v>289</v>
      </c>
      <c r="H139" t="s">
        <v>81</v>
      </c>
      <c r="I139" s="1">
        <v>44658.556170370372</v>
      </c>
      <c r="M139" t="s">
        <v>86</v>
      </c>
      <c r="S139" s="42"/>
    </row>
    <row r="140" spans="1:26">
      <c r="A140" s="40" t="str">
        <f t="shared" si="2"/>
        <v>A0000__Segmentation-Segmentation-TaxNewsFlash-TransferPricing</v>
      </c>
      <c r="C140" t="s">
        <v>290</v>
      </c>
      <c r="H140" t="s">
        <v>81</v>
      </c>
      <c r="I140" s="1">
        <v>44658.567584143515</v>
      </c>
      <c r="M140" t="s">
        <v>86</v>
      </c>
      <c r="S140" s="42"/>
    </row>
    <row r="141" spans="1:26">
      <c r="A141" s="40" t="str">
        <f t="shared" si="2"/>
        <v>A0000__Segmentation-Segmentation-TaxNewsFlash-UnitedStates</v>
      </c>
      <c r="C141" t="s">
        <v>291</v>
      </c>
      <c r="H141" t="s">
        <v>81</v>
      </c>
      <c r="I141" s="1">
        <v>44658.576900462962</v>
      </c>
      <c r="M141" t="s">
        <v>86</v>
      </c>
      <c r="S141" s="42"/>
    </row>
    <row r="142" spans="1:26">
      <c r="A142" s="40" t="str">
        <f t="shared" si="2"/>
        <v>A0000__Segmentation-Segmentation-TaxNewsFlash-WeekInTax</v>
      </c>
      <c r="C142" t="s">
        <v>292</v>
      </c>
      <c r="H142" t="s">
        <v>81</v>
      </c>
      <c r="I142" s="1">
        <v>44658.583935995368</v>
      </c>
      <c r="M142" t="s">
        <v>86</v>
      </c>
      <c r="S142" s="42"/>
    </row>
    <row r="143" spans="1:26" ht="29">
      <c r="A143" s="40" t="str">
        <f t="shared" si="2"/>
        <v>A0000__Admin-AuditLogMCFTP</v>
      </c>
      <c r="C143" t="s">
        <v>293</v>
      </c>
      <c r="D143" t="s">
        <v>680</v>
      </c>
      <c r="E143" t="s">
        <v>68</v>
      </c>
      <c r="F143" s="21" t="s">
        <v>681</v>
      </c>
      <c r="G143" t="s">
        <v>682</v>
      </c>
      <c r="H143" t="s">
        <v>294</v>
      </c>
      <c r="I143" s="1">
        <v>45524.943266516202</v>
      </c>
      <c r="J143" t="s">
        <v>683</v>
      </c>
      <c r="K143" t="s">
        <v>683</v>
      </c>
      <c r="L143" t="s">
        <v>76</v>
      </c>
      <c r="M143" t="s">
        <v>86</v>
      </c>
      <c r="N143" t="s">
        <v>684</v>
      </c>
      <c r="Q143">
        <v>2</v>
      </c>
      <c r="R143" t="s">
        <v>685</v>
      </c>
      <c r="S143" t="s">
        <v>78</v>
      </c>
      <c r="T143" t="s">
        <v>79</v>
      </c>
      <c r="U143" t="s">
        <v>686</v>
      </c>
      <c r="W143" t="s">
        <v>687</v>
      </c>
      <c r="X143" t="s">
        <v>688</v>
      </c>
      <c r="Y143" t="s">
        <v>689</v>
      </c>
      <c r="Z143" t="s">
        <v>690</v>
      </c>
    </row>
    <row r="144" spans="1:26">
      <c r="A144" s="40" t="str">
        <f t="shared" si="2"/>
        <v>A0000__Admin-AuditTrailMaster</v>
      </c>
      <c r="C144" t="s">
        <v>295</v>
      </c>
      <c r="H144" t="s">
        <v>296</v>
      </c>
      <c r="I144" s="1">
        <v>45590.576570682868</v>
      </c>
      <c r="M144" t="s">
        <v>86</v>
      </c>
      <c r="S144" s="42"/>
    </row>
    <row r="145" spans="1:19">
      <c r="A145" s="40" t="str">
        <f t="shared" si="2"/>
        <v>A0000__Reporting-Entrepreneur_UpdateMasterDE</v>
      </c>
      <c r="C145" t="s">
        <v>297</v>
      </c>
      <c r="H145" t="s">
        <v>81</v>
      </c>
      <c r="I145" s="1" t="s">
        <v>82</v>
      </c>
      <c r="M145" t="s">
        <v>83</v>
      </c>
      <c r="S145" s="42"/>
    </row>
    <row r="146" spans="1:19">
      <c r="A146" s="40" t="str">
        <f t="shared" si="2"/>
        <v>A0000__Reporting-Facebook-UpdateMasterDE</v>
      </c>
      <c r="C146" t="s">
        <v>298</v>
      </c>
      <c r="H146" t="s">
        <v>81</v>
      </c>
      <c r="I146" s="1" t="s">
        <v>82</v>
      </c>
      <c r="M146" t="s">
        <v>83</v>
      </c>
      <c r="S146" s="42"/>
    </row>
    <row r="147" spans="1:19">
      <c r="A147" s="40" t="str">
        <f t="shared" si="2"/>
        <v>A0000__Segmentation-CPEGeneral</v>
      </c>
      <c r="C147" t="s">
        <v>299</v>
      </c>
      <c r="H147" t="s">
        <v>300</v>
      </c>
      <c r="I147" s="1">
        <v>45645.464625578701</v>
      </c>
      <c r="M147" t="s">
        <v>86</v>
      </c>
      <c r="S147" s="42"/>
    </row>
    <row r="148" spans="1:19">
      <c r="A148" s="40" t="str">
        <f t="shared" si="2"/>
        <v>A0000__CVENT-EventsCampaignLinkage</v>
      </c>
      <c r="C148" t="s">
        <v>301</v>
      </c>
      <c r="H148" t="s">
        <v>302</v>
      </c>
      <c r="I148" s="1">
        <v>45177.441030358794</v>
      </c>
      <c r="M148" t="s">
        <v>86</v>
      </c>
      <c r="S148" s="42"/>
    </row>
    <row r="149" spans="1:19">
      <c r="A149" s="40" t="str">
        <f t="shared" si="2"/>
        <v>A0000__Reporting-AllianceMarketing_UpdateMasterDE</v>
      </c>
      <c r="C149" t="s">
        <v>303</v>
      </c>
      <c r="H149" t="s">
        <v>81</v>
      </c>
      <c r="I149" s="1" t="s">
        <v>82</v>
      </c>
      <c r="M149" t="s">
        <v>83</v>
      </c>
      <c r="S149" s="42"/>
    </row>
    <row r="150" spans="1:19">
      <c r="A150" s="40" t="str">
        <f t="shared" si="2"/>
        <v>A0000__Reporting-CCSTracker_UpdateMasterDE</v>
      </c>
      <c r="C150" t="s">
        <v>304</v>
      </c>
      <c r="H150" t="s">
        <v>81</v>
      </c>
      <c r="I150" s="1" t="s">
        <v>82</v>
      </c>
      <c r="M150" t="s">
        <v>83</v>
      </c>
      <c r="S150" s="42"/>
    </row>
    <row r="151" spans="1:19">
      <c r="A151" s="40" t="str">
        <f t="shared" si="2"/>
        <v>A0000__Reporting-IgnitionCenter-UpdateMasterDE</v>
      </c>
      <c r="C151" t="s">
        <v>305</v>
      </c>
      <c r="H151" t="s">
        <v>81</v>
      </c>
      <c r="I151" s="1" t="s">
        <v>82</v>
      </c>
      <c r="M151" t="s">
        <v>83</v>
      </c>
      <c r="S151" s="42"/>
    </row>
    <row r="152" spans="1:19">
      <c r="A152" s="40" t="str">
        <f t="shared" si="2"/>
        <v>A0000__Reporting-Onapsis_UpdateMasterDE</v>
      </c>
      <c r="C152" t="s">
        <v>306</v>
      </c>
      <c r="H152" t="s">
        <v>81</v>
      </c>
      <c r="I152" s="1" t="s">
        <v>82</v>
      </c>
      <c r="M152" t="s">
        <v>83</v>
      </c>
      <c r="S152" s="42"/>
    </row>
  </sheetData>
  <phoneticPr fontId="29" type="noConversion"/>
  <hyperlinks>
    <hyperlink ref="S3" r:id="rId1" xr:uid="{6219FE3E-FD7A-49A8-8986-D6F0A6CE3913}"/>
  </hyperlinks>
  <pageMargins left="0.7" right="0.7" top="0.75" bottom="0.75" header="0.3" footer="0.3"/>
  <customProperties>
    <customPr name="OrphanNamesChecked" r:id="rId2"/>
  </customProperties>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46241FB7-CA03-45D3-9CF8-6685C35B6F5A}">
          <x14:formula1>
            <xm:f>REFERENCE!$A:$A</xm:f>
          </x14:formula1>
          <xm:sqref>M1:M1048576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1E584-0F54-4653-BD10-01C1FFC77327}">
  <dimension ref="A1:C27"/>
  <sheetViews>
    <sheetView workbookViewId="0">
      <selection activeCell="C25" sqref="C25"/>
    </sheetView>
  </sheetViews>
  <sheetFormatPr defaultRowHeight="17.25" customHeight="1"/>
  <cols>
    <col min="1" max="1" width="31.453125" bestFit="1" customWidth="1"/>
    <col min="2" max="2" width="69.26953125" bestFit="1" customWidth="1"/>
    <col min="3" max="3" width="19.81640625" bestFit="1" customWidth="1"/>
  </cols>
  <sheetData>
    <row r="1" spans="1:3" ht="17.25" customHeight="1">
      <c r="A1" t="s">
        <v>307</v>
      </c>
      <c r="B1" t="s">
        <v>308</v>
      </c>
      <c r="C1" t="s">
        <v>309</v>
      </c>
    </row>
    <row r="2" spans="1:3" ht="17.25" customHeight="1">
      <c r="A2" s="38" t="s">
        <v>39</v>
      </c>
      <c r="B2" t="s">
        <v>310</v>
      </c>
    </row>
    <row r="3" spans="1:3" ht="17.25" customHeight="1">
      <c r="A3" s="38" t="s">
        <v>40</v>
      </c>
      <c r="B3" t="s">
        <v>310</v>
      </c>
    </row>
    <row r="4" spans="1:3" ht="17.25" customHeight="1">
      <c r="A4" s="10" t="s">
        <v>41</v>
      </c>
      <c r="B4" t="s">
        <v>66</v>
      </c>
      <c r="C4" t="s">
        <v>311</v>
      </c>
    </row>
    <row r="5" spans="1:3" ht="17.25" customHeight="1">
      <c r="A5" s="10" t="s">
        <v>42</v>
      </c>
      <c r="B5" t="s">
        <v>312</v>
      </c>
    </row>
    <row r="6" spans="1:3" ht="17.25" customHeight="1">
      <c r="A6" s="10" t="s">
        <v>43</v>
      </c>
      <c r="B6" t="s">
        <v>313</v>
      </c>
    </row>
    <row r="7" spans="1:3" ht="17.25" customHeight="1">
      <c r="A7" s="10" t="s">
        <v>44</v>
      </c>
      <c r="B7" t="s">
        <v>314</v>
      </c>
      <c r="C7" t="s">
        <v>315</v>
      </c>
    </row>
    <row r="8" spans="1:3" ht="17.25" customHeight="1">
      <c r="A8" s="10" t="s">
        <v>45</v>
      </c>
      <c r="C8" t="s">
        <v>315</v>
      </c>
    </row>
    <row r="9" spans="1:3" ht="17.25" customHeight="1">
      <c r="A9" s="10" t="s">
        <v>46</v>
      </c>
      <c r="B9" t="s">
        <v>316</v>
      </c>
      <c r="C9" t="s">
        <v>315</v>
      </c>
    </row>
    <row r="10" spans="1:3" ht="17.25" customHeight="1">
      <c r="A10" s="10" t="s">
        <v>47</v>
      </c>
      <c r="B10" t="s">
        <v>317</v>
      </c>
      <c r="C10" t="s">
        <v>315</v>
      </c>
    </row>
    <row r="11" spans="1:3" ht="17.25" customHeight="1">
      <c r="A11" s="10" t="s">
        <v>48</v>
      </c>
      <c r="B11" t="s">
        <v>318</v>
      </c>
      <c r="C11" t="s">
        <v>315</v>
      </c>
    </row>
    <row r="12" spans="1:3" ht="17.25" customHeight="1">
      <c r="A12" s="10" t="s">
        <v>49</v>
      </c>
      <c r="B12" t="s">
        <v>319</v>
      </c>
      <c r="C12" t="s">
        <v>315</v>
      </c>
    </row>
    <row r="13" spans="1:3" ht="17.25" customHeight="1">
      <c r="A13" s="10" t="s">
        <v>50</v>
      </c>
      <c r="C13" t="s">
        <v>320</v>
      </c>
    </row>
    <row r="14" spans="1:3" ht="17.25" customHeight="1">
      <c r="A14" s="10" t="s">
        <v>51</v>
      </c>
      <c r="B14" t="s">
        <v>321</v>
      </c>
      <c r="C14" t="s">
        <v>320</v>
      </c>
    </row>
    <row r="15" spans="1:3" ht="17.25" customHeight="1">
      <c r="A15" s="10" t="s">
        <v>52</v>
      </c>
      <c r="C15" t="s">
        <v>320</v>
      </c>
    </row>
    <row r="16" spans="1:3" ht="17.25" customHeight="1">
      <c r="A16" s="10" t="s">
        <v>53</v>
      </c>
      <c r="C16" t="s">
        <v>320</v>
      </c>
    </row>
    <row r="17" spans="1:3" ht="17.25" customHeight="1">
      <c r="A17" s="10" t="s">
        <v>54</v>
      </c>
      <c r="C17" t="s">
        <v>320</v>
      </c>
    </row>
    <row r="18" spans="1:3" ht="17.25" customHeight="1">
      <c r="A18" s="10" t="s">
        <v>55</v>
      </c>
      <c r="C18" t="s">
        <v>320</v>
      </c>
    </row>
    <row r="19" spans="1:3" ht="17.25" customHeight="1">
      <c r="A19" s="10" t="s">
        <v>56</v>
      </c>
      <c r="C19" t="s">
        <v>322</v>
      </c>
    </row>
    <row r="20" spans="1:3" ht="17.25" customHeight="1">
      <c r="A20" s="10" t="s">
        <v>57</v>
      </c>
      <c r="C20" t="s">
        <v>322</v>
      </c>
    </row>
    <row r="21" spans="1:3" ht="17.25" customHeight="1">
      <c r="A21" s="10" t="s">
        <v>58</v>
      </c>
      <c r="B21" t="s">
        <v>323</v>
      </c>
      <c r="C21" t="s">
        <v>322</v>
      </c>
    </row>
    <row r="22" spans="1:3" ht="17.25" customHeight="1">
      <c r="A22" s="10" t="s">
        <v>59</v>
      </c>
      <c r="C22" t="s">
        <v>322</v>
      </c>
    </row>
    <row r="23" spans="1:3" ht="17.25" customHeight="1">
      <c r="A23" s="10" t="s">
        <v>60</v>
      </c>
      <c r="C23" t="s">
        <v>311</v>
      </c>
    </row>
    <row r="24" spans="1:3" ht="17.25" customHeight="1">
      <c r="A24" s="10" t="s">
        <v>61</v>
      </c>
      <c r="C24" t="s">
        <v>311</v>
      </c>
    </row>
    <row r="25" spans="1:3" ht="17.25" customHeight="1">
      <c r="A25" s="10" t="s">
        <v>62</v>
      </c>
      <c r="C25" t="s">
        <v>311</v>
      </c>
    </row>
    <row r="26" spans="1:3" ht="17.25" customHeight="1">
      <c r="A26" s="10" t="s">
        <v>63</v>
      </c>
      <c r="C26" t="s">
        <v>311</v>
      </c>
    </row>
    <row r="27" spans="1:3" ht="17.25" customHeight="1">
      <c r="A27" s="10" t="s">
        <v>64</v>
      </c>
      <c r="C27" t="s">
        <v>311</v>
      </c>
    </row>
  </sheetData>
  <pageMargins left="0.7" right="0.7" top="0.75" bottom="0.75" header="0.3" footer="0.3"/>
  <customProperties>
    <customPr name="OrphanNamesChecked" r:id="rId1"/>
  </customPropertie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BC548F9-8AF6-428B-9258-18588D714813}">
          <x14:formula1>
            <xm:f>REFERENCE!$A:$A</xm:f>
          </x14:formula1>
          <xm:sqref>A14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07D9A-A1EF-4DCD-A7CA-441122511BFA}">
  <dimension ref="A1:T153"/>
  <sheetViews>
    <sheetView workbookViewId="0">
      <pane ySplit="1" topLeftCell="A110" activePane="bottomLeft" state="frozen"/>
      <selection pane="bottomLeft" activeCell="E145" sqref="E145"/>
    </sheetView>
  </sheetViews>
  <sheetFormatPr defaultRowHeight="14.5"/>
  <cols>
    <col min="1" max="1" width="54.81640625" hidden="1" customWidth="1"/>
    <col min="2" max="2" width="10.453125" style="5" bestFit="1" customWidth="1"/>
    <col min="3" max="3" width="53.7265625" style="45" bestFit="1" customWidth="1"/>
    <col min="4" max="4" width="60.453125" bestFit="1" customWidth="1"/>
    <col min="5" max="5" width="55.54296875" bestFit="1" customWidth="1"/>
    <col min="6" max="6" width="8.1796875" bestFit="1" customWidth="1"/>
    <col min="7" max="7" width="9.26953125" bestFit="1" customWidth="1"/>
    <col min="8" max="8" width="11" bestFit="1" customWidth="1"/>
    <col min="9" max="9" width="11" customWidth="1"/>
    <col min="10" max="10" width="13.453125" bestFit="1" customWidth="1"/>
    <col min="11" max="11" width="13.81640625" bestFit="1" customWidth="1"/>
    <col min="12" max="12" width="43.1796875" bestFit="1" customWidth="1"/>
    <col min="13" max="13" width="16" bestFit="1" customWidth="1"/>
    <col min="14" max="14" width="24.81640625" bestFit="1" customWidth="1"/>
  </cols>
  <sheetData>
    <row r="1" spans="1:20">
      <c r="A1" t="s">
        <v>324</v>
      </c>
      <c r="B1" s="8" t="s">
        <v>325</v>
      </c>
      <c r="C1" s="43" t="s">
        <v>326</v>
      </c>
      <c r="D1" s="7" t="s">
        <v>327</v>
      </c>
      <c r="E1" s="6" t="s">
        <v>328</v>
      </c>
      <c r="F1" s="6" t="s">
        <v>329</v>
      </c>
      <c r="G1" s="6" t="s">
        <v>11</v>
      </c>
      <c r="H1" s="6" t="s">
        <v>330</v>
      </c>
      <c r="I1" s="9" t="s">
        <v>331</v>
      </c>
      <c r="J1" s="9" t="s">
        <v>332</v>
      </c>
      <c r="K1" s="6" t="s">
        <v>333</v>
      </c>
      <c r="L1" s="6" t="s">
        <v>334</v>
      </c>
      <c r="M1" s="6" t="s">
        <v>335</v>
      </c>
      <c r="N1" s="6" t="s">
        <v>336</v>
      </c>
      <c r="O1" s="9"/>
      <c r="Q1" s="6"/>
      <c r="R1" s="6"/>
      <c r="S1" s="6"/>
      <c r="T1" s="6"/>
    </row>
    <row r="2" spans="1:20">
      <c r="A2" s="33" t="str">
        <f>CONCATENATE($C2,"_Ln",TEXT($F2,"000"),"_",$G2,"__",$E2)</f>
        <v>Flip_Unsubscribe_To_Active_For_Lead_Ln000_DE__Flip_All_Subscriber_Unsubscribe_to_Active</v>
      </c>
      <c r="B2" s="34" t="str">
        <f>VLOOKUP($D2,Activities!$D:$G,3,FALSE)</f>
        <v>SQL</v>
      </c>
      <c r="C2" s="44" t="str">
        <f>VLOOKUP($D2,Activities!$D:$G,2,FALSE)</f>
        <v>Flip_Unsubscribe_To_Active_For_Lead</v>
      </c>
      <c r="D2" s="33" t="s">
        <v>337</v>
      </c>
      <c r="E2" s="33" t="s">
        <v>338</v>
      </c>
      <c r="F2" s="33">
        <v>0</v>
      </c>
      <c r="G2" s="33" t="s">
        <v>339</v>
      </c>
      <c r="H2" s="33" t="s">
        <v>340</v>
      </c>
      <c r="I2" s="33" t="s">
        <v>341</v>
      </c>
      <c r="J2" s="33" t="s">
        <v>342</v>
      </c>
      <c r="K2" s="33" t="s">
        <v>340</v>
      </c>
      <c r="L2" s="33"/>
      <c r="M2" s="33"/>
      <c r="N2" s="33"/>
      <c r="O2" s="33"/>
      <c r="P2" s="33"/>
      <c r="Q2" s="33"/>
      <c r="R2" s="33"/>
      <c r="S2" s="33"/>
    </row>
    <row r="3" spans="1:20">
      <c r="A3" s="33" t="str">
        <f t="shared" ref="A3:A66" si="0">CONCATENATE($C3,"_Ln",TEXT($F3,"000"),"_",$G3,"__",$E3)</f>
        <v>Flip_Unsubscribe_To_Active_For_Lead_Ln012_SDE__KPMG_Individual_Firm_Details__c_Salesforce_3</v>
      </c>
      <c r="B3" s="34" t="str">
        <f>VLOOKUP($D3,Activities!$D:$G,3,FALSE)</f>
        <v>SQL</v>
      </c>
      <c r="C3" s="44" t="str">
        <f>VLOOKUP($D3,Activities!$D:$G,2,FALSE)</f>
        <v>Flip_Unsubscribe_To_Active_For_Lead</v>
      </c>
      <c r="D3" s="33" t="s">
        <v>337</v>
      </c>
      <c r="E3" s="33" t="s">
        <v>343</v>
      </c>
      <c r="F3" s="33">
        <v>12</v>
      </c>
      <c r="G3" s="33" t="s">
        <v>344</v>
      </c>
      <c r="H3" s="33" t="s">
        <v>12</v>
      </c>
      <c r="I3" s="33" t="s">
        <v>341</v>
      </c>
      <c r="J3" s="33" t="s">
        <v>345</v>
      </c>
      <c r="K3" s="33" t="s">
        <v>346</v>
      </c>
      <c r="L3" s="33"/>
      <c r="M3" s="33"/>
      <c r="N3" s="33"/>
      <c r="O3" s="33"/>
      <c r="P3" s="33"/>
      <c r="Q3" s="33"/>
      <c r="R3" s="33"/>
      <c r="S3" s="33"/>
    </row>
    <row r="4" spans="1:20">
      <c r="A4" s="33" t="str">
        <f t="shared" si="0"/>
        <v>Flip_Unsubscribe_To_Active_For_Lead_Ln014_SDE__ContactPointEmail_Salesforce_5</v>
      </c>
      <c r="B4" s="34" t="str">
        <f>VLOOKUP($D4,Activities!$D:$G,3,FALSE)</f>
        <v>SQL</v>
      </c>
      <c r="C4" s="44" t="str">
        <f>VLOOKUP($D4,Activities!$D:$G,2,FALSE)</f>
        <v>Flip_Unsubscribe_To_Active_For_Lead</v>
      </c>
      <c r="D4" s="33" t="s">
        <v>337</v>
      </c>
      <c r="E4" s="33" t="s">
        <v>347</v>
      </c>
      <c r="F4" s="33">
        <v>14</v>
      </c>
      <c r="G4" s="33" t="s">
        <v>344</v>
      </c>
      <c r="H4" s="33" t="s">
        <v>348</v>
      </c>
      <c r="I4" s="33" t="s">
        <v>341</v>
      </c>
      <c r="J4" s="33" t="s">
        <v>349</v>
      </c>
      <c r="K4" s="33" t="s">
        <v>348</v>
      </c>
      <c r="L4" s="33" t="s">
        <v>343</v>
      </c>
      <c r="M4" s="33" t="s">
        <v>350</v>
      </c>
      <c r="N4" s="33" t="s">
        <v>351</v>
      </c>
      <c r="O4" s="33"/>
      <c r="P4" s="33"/>
      <c r="Q4" s="33"/>
      <c r="R4" s="33"/>
      <c r="S4" s="33"/>
    </row>
    <row r="5" spans="1:20">
      <c r="A5" s="33" t="str">
        <f t="shared" si="0"/>
        <v>Flip_Unsubscribe_To_Active_For_Lead_Ln017_DV___Subscribers</v>
      </c>
      <c r="B5" s="34" t="str">
        <f>VLOOKUP($D5,Activities!$D:$G,3,FALSE)</f>
        <v>SQL</v>
      </c>
      <c r="C5" s="44" t="str">
        <f>VLOOKUP($D5,Activities!$D:$G,2,FALSE)</f>
        <v>Flip_Unsubscribe_To_Active_For_Lead</v>
      </c>
      <c r="D5" s="33" t="s">
        <v>337</v>
      </c>
      <c r="E5" s="33" t="s">
        <v>352</v>
      </c>
      <c r="F5" s="33">
        <v>17</v>
      </c>
      <c r="G5" s="33" t="s">
        <v>353</v>
      </c>
      <c r="H5" s="33" t="s">
        <v>348</v>
      </c>
      <c r="I5" s="33" t="s">
        <v>341</v>
      </c>
      <c r="J5" s="33" t="s">
        <v>349</v>
      </c>
      <c r="K5" s="33" t="s">
        <v>348</v>
      </c>
      <c r="L5" s="33" t="s">
        <v>343</v>
      </c>
      <c r="M5" s="33" t="s">
        <v>354</v>
      </c>
      <c r="N5" s="33" t="s">
        <v>354</v>
      </c>
      <c r="O5" s="33"/>
      <c r="P5" s="33"/>
      <c r="Q5" s="33"/>
      <c r="R5" s="33"/>
      <c r="S5" s="33"/>
    </row>
    <row r="6" spans="1:20">
      <c r="A6" s="33" t="str">
        <f t="shared" si="0"/>
        <v>Flip_Unsubscribe_To_Active_For_Contact_Ln000_DE__Flip_All_Subscriber_Unsubscribe_to_Active</v>
      </c>
      <c r="B6" s="34" t="str">
        <f>VLOOKUP($D6,Activities!$D:$G,3,FALSE)</f>
        <v>SQL</v>
      </c>
      <c r="C6" s="44" t="str">
        <f>VLOOKUP($D6,Activities!$D:$G,2,FALSE)</f>
        <v>Flip_Unsubscribe_To_Active_For_Contact</v>
      </c>
      <c r="D6" s="33" t="s">
        <v>355</v>
      </c>
      <c r="E6" s="33" t="s">
        <v>338</v>
      </c>
      <c r="F6" s="33">
        <v>0</v>
      </c>
      <c r="G6" s="33" t="s">
        <v>339</v>
      </c>
      <c r="H6" s="33" t="s">
        <v>340</v>
      </c>
      <c r="I6" s="33" t="s">
        <v>341</v>
      </c>
      <c r="J6" s="33" t="s">
        <v>356</v>
      </c>
      <c r="K6" s="33" t="s">
        <v>340</v>
      </c>
      <c r="L6" s="33"/>
      <c r="M6" s="33"/>
      <c r="N6" s="33"/>
      <c r="O6" s="33"/>
      <c r="P6" s="33"/>
      <c r="Q6" s="33"/>
      <c r="R6" s="33"/>
      <c r="S6" s="33"/>
    </row>
    <row r="7" spans="1:20">
      <c r="A7" s="33" t="str">
        <f t="shared" si="0"/>
        <v>Flip_Unsubscribe_To_Active_For_Contact_Ln012_SDE__KPMG_Individual_Firm_Details__c_Salesforce_3</v>
      </c>
      <c r="B7" s="34" t="str">
        <f>VLOOKUP($D7,Activities!$D:$G,3,FALSE)</f>
        <v>SQL</v>
      </c>
      <c r="C7" s="44" t="str">
        <f>VLOOKUP($D7,Activities!$D:$G,2,FALSE)</f>
        <v>Flip_Unsubscribe_To_Active_For_Contact</v>
      </c>
      <c r="D7" s="33" t="s">
        <v>355</v>
      </c>
      <c r="E7" s="33" t="s">
        <v>343</v>
      </c>
      <c r="F7" s="33">
        <v>12</v>
      </c>
      <c r="G7" s="33" t="s">
        <v>344</v>
      </c>
      <c r="H7" s="33" t="s">
        <v>12</v>
      </c>
      <c r="I7" s="33" t="s">
        <v>341</v>
      </c>
      <c r="J7" s="33" t="s">
        <v>345</v>
      </c>
      <c r="K7" s="33" t="s">
        <v>346</v>
      </c>
      <c r="L7" s="33"/>
      <c r="M7" s="33"/>
      <c r="N7" s="33"/>
      <c r="O7" s="33"/>
      <c r="P7" s="33"/>
      <c r="Q7" s="33"/>
      <c r="R7" s="33"/>
      <c r="S7" s="33"/>
    </row>
    <row r="8" spans="1:20">
      <c r="A8" s="33" t="str">
        <f t="shared" si="0"/>
        <v>Flip_Unsubscribe_To_Active_For_Contact_Ln014_SDE__ContactPointEmail_Salesforce_5</v>
      </c>
      <c r="B8" s="34" t="str">
        <f>VLOOKUP($D8,Activities!$D:$G,3,FALSE)</f>
        <v>SQL</v>
      </c>
      <c r="C8" s="44" t="str">
        <f>VLOOKUP($D8,Activities!$D:$G,2,FALSE)</f>
        <v>Flip_Unsubscribe_To_Active_For_Contact</v>
      </c>
      <c r="D8" s="33" t="s">
        <v>355</v>
      </c>
      <c r="E8" s="33" t="s">
        <v>347</v>
      </c>
      <c r="F8" s="33">
        <v>14</v>
      </c>
      <c r="G8" s="33" t="s">
        <v>344</v>
      </c>
      <c r="H8" s="33" t="s">
        <v>348</v>
      </c>
      <c r="I8" s="33" t="s">
        <v>341</v>
      </c>
      <c r="J8" s="33" t="s">
        <v>349</v>
      </c>
      <c r="K8" s="33" t="s">
        <v>348</v>
      </c>
      <c r="L8" s="33" t="s">
        <v>343</v>
      </c>
      <c r="M8" s="33" t="s">
        <v>357</v>
      </c>
      <c r="N8" s="33" t="s">
        <v>351</v>
      </c>
      <c r="O8" s="33"/>
      <c r="P8" s="33"/>
      <c r="Q8" s="33"/>
      <c r="R8" s="33"/>
      <c r="S8" s="33"/>
    </row>
    <row r="9" spans="1:20">
      <c r="A9" s="33" t="str">
        <f t="shared" si="0"/>
        <v>Flip_Unsubscribe_To_Active_For_Contact_Ln017_DV___Subscribers</v>
      </c>
      <c r="B9" s="34" t="str">
        <f>VLOOKUP($D9,Activities!$D:$G,3,FALSE)</f>
        <v>SQL</v>
      </c>
      <c r="C9" s="44" t="str">
        <f>VLOOKUP($D9,Activities!$D:$G,2,FALSE)</f>
        <v>Flip_Unsubscribe_To_Active_For_Contact</v>
      </c>
      <c r="D9" s="33" t="s">
        <v>355</v>
      </c>
      <c r="E9" s="33" t="s">
        <v>352</v>
      </c>
      <c r="F9" s="33">
        <v>17</v>
      </c>
      <c r="G9" s="33" t="s">
        <v>353</v>
      </c>
      <c r="H9" s="33" t="s">
        <v>348</v>
      </c>
      <c r="I9" s="33" t="s">
        <v>341</v>
      </c>
      <c r="J9" s="33" t="s">
        <v>349</v>
      </c>
      <c r="K9" s="33" t="s">
        <v>348</v>
      </c>
      <c r="L9" s="33" t="s">
        <v>343</v>
      </c>
      <c r="M9" s="33" t="s">
        <v>354</v>
      </c>
      <c r="N9" s="33" t="s">
        <v>354</v>
      </c>
      <c r="O9" s="33"/>
      <c r="P9" s="33"/>
      <c r="Q9" s="33"/>
      <c r="R9" s="33"/>
      <c r="S9" s="33"/>
    </row>
    <row r="10" spans="1:20">
      <c r="A10" s="33" t="str">
        <f t="shared" si="0"/>
        <v>Final_Flip_All_Subscribers_To_Unsubscribe_To_Active_Ln000_DE__Final_Flip_All_Subscriber_Unsubscribe_To_Active</v>
      </c>
      <c r="B10" s="34" t="str">
        <f>VLOOKUP($D10,Activities!$D:$G,3,FALSE)</f>
        <v>SQL</v>
      </c>
      <c r="C10" s="44" t="str">
        <f>VLOOKUP($D10,Activities!$D:$G,2,FALSE)</f>
        <v>Final_Flip_All_Subscribers_To_Unsubscribe_To_Active</v>
      </c>
      <c r="D10" s="33" t="s">
        <v>358</v>
      </c>
      <c r="E10" s="33" t="s">
        <v>359</v>
      </c>
      <c r="F10" s="33">
        <v>0</v>
      </c>
      <c r="G10" s="33" t="s">
        <v>339</v>
      </c>
      <c r="H10" s="33" t="s">
        <v>340</v>
      </c>
      <c r="I10" s="33" t="s">
        <v>341</v>
      </c>
      <c r="J10" s="33" t="s">
        <v>342</v>
      </c>
      <c r="K10" s="33" t="s">
        <v>340</v>
      </c>
      <c r="L10" s="33"/>
      <c r="M10" s="33"/>
      <c r="N10" s="33"/>
      <c r="O10" s="33"/>
      <c r="P10" s="33"/>
      <c r="Q10" s="33"/>
      <c r="R10" s="33"/>
      <c r="S10" s="33"/>
    </row>
    <row r="11" spans="1:20">
      <c r="A11" s="33" t="str">
        <f t="shared" si="0"/>
        <v>Final_Flip_All_Subscribers_To_Unsubscribe_To_Active_Ln003_DE__Flip_All_Subscriber_Unsubscribe_to_Active</v>
      </c>
      <c r="B11" s="34" t="str">
        <f>VLOOKUP($D11,Activities!$D:$G,3,FALSE)</f>
        <v>SQL</v>
      </c>
      <c r="C11" s="44" t="str">
        <f>VLOOKUP($D11,Activities!$D:$G,2,FALSE)</f>
        <v>Final_Flip_All_Subscribers_To_Unsubscribe_To_Active</v>
      </c>
      <c r="D11" s="33" t="s">
        <v>358</v>
      </c>
      <c r="E11" s="33" t="s">
        <v>338</v>
      </c>
      <c r="F11" s="33">
        <v>3</v>
      </c>
      <c r="G11" s="33" t="s">
        <v>339</v>
      </c>
      <c r="H11" s="33" t="s">
        <v>12</v>
      </c>
      <c r="I11" s="33" t="s">
        <v>360</v>
      </c>
      <c r="J11" s="33" t="s">
        <v>345</v>
      </c>
      <c r="K11" s="33" t="s">
        <v>346</v>
      </c>
      <c r="L11" s="33"/>
      <c r="M11" s="33"/>
      <c r="N11" s="33"/>
      <c r="O11" s="33"/>
      <c r="P11" s="33"/>
      <c r="Q11" s="33"/>
      <c r="R11" s="33"/>
      <c r="S11" s="33"/>
    </row>
    <row r="12" spans="1:20">
      <c r="A12" s="33" t="str">
        <f t="shared" si="0"/>
        <v xml:space="preserve">
Optin_from_Unsubscribe_From_All_Preferences_Ln000_DE__Remove_Optin_Records_From_UnsubscribeFromAllPreferences</v>
      </c>
      <c r="B12" s="34" t="str">
        <f>VLOOKUP($D12,Activities!$D:$G,3,FALSE)</f>
        <v>SQL</v>
      </c>
      <c r="C12" s="44" t="str">
        <f>VLOOKUP($D12,Activities!$D:$G,2,FALSE)</f>
        <v xml:space="preserve">
Optin_from_Unsubscribe_From_All_Preferences</v>
      </c>
      <c r="D12" s="33" t="s">
        <v>361</v>
      </c>
      <c r="E12" s="33" t="s">
        <v>362</v>
      </c>
      <c r="F12" s="33">
        <v>0</v>
      </c>
      <c r="G12" s="33" t="s">
        <v>339</v>
      </c>
      <c r="H12" s="33" t="s">
        <v>340</v>
      </c>
      <c r="I12" s="33" t="s">
        <v>341</v>
      </c>
      <c r="J12" s="33" t="s">
        <v>342</v>
      </c>
      <c r="K12" s="33" t="s">
        <v>340</v>
      </c>
      <c r="L12" s="33"/>
      <c r="M12" s="33"/>
      <c r="N12" s="33"/>
      <c r="O12" s="33"/>
      <c r="P12" s="33"/>
      <c r="Q12" s="33"/>
      <c r="R12" s="33"/>
      <c r="S12" s="33"/>
    </row>
    <row r="13" spans="1:20">
      <c r="A13" s="33" t="str">
        <f t="shared" si="0"/>
        <v xml:space="preserve">
Optin_from_Unsubscribe_From_All_Preferences_Ln015_DE__Flip_All_Subscriber_Unsubscribe_to_Active</v>
      </c>
      <c r="B13" s="34" t="str">
        <f>VLOOKUP($D13,Activities!$D:$G,3,FALSE)</f>
        <v>SQL</v>
      </c>
      <c r="C13" s="44" t="str">
        <f>VLOOKUP($D13,Activities!$D:$G,2,FALSE)</f>
        <v xml:space="preserve">
Optin_from_Unsubscribe_From_All_Preferences</v>
      </c>
      <c r="D13" s="33" t="s">
        <v>361</v>
      </c>
      <c r="E13" s="33" t="s">
        <v>338</v>
      </c>
      <c r="F13" s="33">
        <v>15</v>
      </c>
      <c r="G13" s="33" t="s">
        <v>339</v>
      </c>
      <c r="H13" s="33" t="s">
        <v>12</v>
      </c>
      <c r="I13" s="33" t="s">
        <v>341</v>
      </c>
      <c r="J13" s="33" t="s">
        <v>345</v>
      </c>
      <c r="K13" s="33" t="s">
        <v>346</v>
      </c>
      <c r="L13" s="33"/>
      <c r="M13" s="33"/>
      <c r="N13" s="33"/>
      <c r="O13" s="33"/>
      <c r="P13" s="33"/>
      <c r="Q13" s="33"/>
      <c r="R13" s="33"/>
      <c r="S13" s="33"/>
    </row>
    <row r="14" spans="1:20">
      <c r="A14" s="33" t="str">
        <f t="shared" si="0"/>
        <v xml:space="preserve">
Optin_from_Unsubscribe_From_All_Preferences_Ln017_DE__Unsubscribe_From_All_Preferences</v>
      </c>
      <c r="B14" s="34" t="str">
        <f>VLOOKUP($D14,Activities!$D:$G,3,FALSE)</f>
        <v>SQL</v>
      </c>
      <c r="C14" s="44" t="str">
        <f>VLOOKUP($D14,Activities!$D:$G,2,FALSE)</f>
        <v xml:space="preserve">
Optin_from_Unsubscribe_From_All_Preferences</v>
      </c>
      <c r="D14" s="33" t="s">
        <v>361</v>
      </c>
      <c r="E14" s="33" t="s">
        <v>363</v>
      </c>
      <c r="F14" s="33">
        <v>17</v>
      </c>
      <c r="G14" s="33" t="s">
        <v>339</v>
      </c>
      <c r="H14" s="33" t="s">
        <v>348</v>
      </c>
      <c r="I14" s="33" t="s">
        <v>341</v>
      </c>
      <c r="J14" s="33" t="s">
        <v>349</v>
      </c>
      <c r="K14" s="33" t="s">
        <v>348</v>
      </c>
      <c r="L14" s="33" t="s">
        <v>338</v>
      </c>
      <c r="M14" s="33" t="s">
        <v>354</v>
      </c>
      <c r="N14" s="33" t="s">
        <v>354</v>
      </c>
      <c r="O14" s="33"/>
      <c r="P14" s="33"/>
      <c r="Q14" s="33"/>
      <c r="R14" s="33"/>
      <c r="S14" s="33"/>
    </row>
    <row r="15" spans="1:20">
      <c r="A15" s="33" t="str">
        <f t="shared" si="0"/>
        <v>Remaining_OptIn_Records_From_Unsubscribe_Ln000_DE__Remaining_Optin_Records_From_UnsubscribeFromAllPreferences</v>
      </c>
      <c r="B15" s="34" t="str">
        <f>VLOOKUP($D15,Activities!$D:$G,3,FALSE)</f>
        <v>SQL</v>
      </c>
      <c r="C15" s="44" t="str">
        <f>VLOOKUP($D15,Activities!$D:$G,2,FALSE)</f>
        <v>Remaining_OptIn_Records_From_Unsubscribe</v>
      </c>
      <c r="D15" s="33" t="s">
        <v>364</v>
      </c>
      <c r="E15" s="33" t="s">
        <v>365</v>
      </c>
      <c r="F15" s="33">
        <v>0</v>
      </c>
      <c r="G15" s="33" t="s">
        <v>339</v>
      </c>
      <c r="H15" s="33" t="s">
        <v>340</v>
      </c>
      <c r="I15" s="33" t="s">
        <v>341</v>
      </c>
      <c r="J15" s="33" t="s">
        <v>342</v>
      </c>
      <c r="K15" s="33" t="s">
        <v>340</v>
      </c>
      <c r="L15" s="33"/>
      <c r="M15" s="33"/>
      <c r="N15" s="33"/>
      <c r="O15" s="33"/>
      <c r="P15" s="33"/>
      <c r="Q15" s="33"/>
      <c r="R15" s="33"/>
      <c r="S15" s="33"/>
    </row>
    <row r="16" spans="1:20">
      <c r="A16" s="33" t="str">
        <f t="shared" si="0"/>
        <v>Remaining_OptIn_Records_From_Unsubscribe_Ln006_DE__Remove_Optin_Records_From_UnsubscribeFromAllPreferences</v>
      </c>
      <c r="B16" s="34" t="str">
        <f>VLOOKUP($D16,Activities!$D:$G,3,FALSE)</f>
        <v>SQL</v>
      </c>
      <c r="C16" s="44" t="str">
        <f>VLOOKUP($D16,Activities!$D:$G,2,FALSE)</f>
        <v>Remaining_OptIn_Records_From_Unsubscribe</v>
      </c>
      <c r="D16" s="33" t="s">
        <v>364</v>
      </c>
      <c r="E16" s="33" t="s">
        <v>362</v>
      </c>
      <c r="F16" s="33">
        <v>6</v>
      </c>
      <c r="G16" s="33" t="s">
        <v>339</v>
      </c>
      <c r="H16" s="33" t="s">
        <v>12</v>
      </c>
      <c r="I16" s="33" t="s">
        <v>341</v>
      </c>
      <c r="J16" s="33" t="s">
        <v>345</v>
      </c>
      <c r="K16" s="33" t="s">
        <v>346</v>
      </c>
      <c r="L16" s="33"/>
      <c r="M16" s="33"/>
      <c r="N16" s="33"/>
      <c r="O16" s="33"/>
      <c r="P16" s="33"/>
      <c r="Q16" s="33"/>
      <c r="R16" s="33"/>
      <c r="S16" s="33"/>
    </row>
    <row r="17" spans="1:19">
      <c r="A17" s="33" t="str">
        <f t="shared" si="0"/>
        <v>Add_Sales_Cloud_Active_To_Audit_Preferences_For_Leads_Ln000_DE__Audit_Preferences</v>
      </c>
      <c r="B17" s="34" t="str">
        <f>VLOOKUP($D17,Activities!$D:$G,3,FALSE)</f>
        <v>SQL</v>
      </c>
      <c r="C17" s="44" t="str">
        <f>VLOOKUP($D17,Activities!$D:$G,2,FALSE)</f>
        <v>Add_Sales_Cloud_Active_To_Audit_Preferences_For_Leads</v>
      </c>
      <c r="D17" s="33" t="s">
        <v>366</v>
      </c>
      <c r="E17" s="33" t="s">
        <v>367</v>
      </c>
      <c r="F17" s="33">
        <v>0</v>
      </c>
      <c r="G17" s="33" t="s">
        <v>339</v>
      </c>
      <c r="H17" s="33" t="s">
        <v>340</v>
      </c>
      <c r="I17" s="33" t="s">
        <v>341</v>
      </c>
      <c r="J17" s="33" t="s">
        <v>368</v>
      </c>
      <c r="K17" s="33" t="s">
        <v>340</v>
      </c>
      <c r="L17" s="33"/>
      <c r="M17" s="33"/>
      <c r="N17" s="33"/>
      <c r="O17" s="33"/>
      <c r="P17" s="33"/>
      <c r="Q17" s="33"/>
      <c r="R17" s="33"/>
      <c r="S17" s="33"/>
    </row>
    <row r="18" spans="1:19">
      <c r="A18" s="33" t="str">
        <f t="shared" si="0"/>
        <v>Add_Sales_Cloud_Active_To_Audit_Preferences_For_Leads_Ln025_DE__Flip_All_Subscriber_Unsubscribe_to_Active</v>
      </c>
      <c r="B18" s="34" t="str">
        <f>VLOOKUP($D18,Activities!$D:$G,3,FALSE)</f>
        <v>SQL</v>
      </c>
      <c r="C18" s="44" t="str">
        <f>VLOOKUP($D18,Activities!$D:$G,2,FALSE)</f>
        <v>Add_Sales_Cloud_Active_To_Audit_Preferences_For_Leads</v>
      </c>
      <c r="D18" s="33" t="s">
        <v>366</v>
      </c>
      <c r="E18" s="33" t="s">
        <v>338</v>
      </c>
      <c r="F18" s="33">
        <v>25</v>
      </c>
      <c r="G18" s="33" t="s">
        <v>339</v>
      </c>
      <c r="H18" s="33" t="s">
        <v>12</v>
      </c>
      <c r="I18" s="33" t="s">
        <v>341</v>
      </c>
      <c r="J18" s="33" t="s">
        <v>345</v>
      </c>
      <c r="K18" s="33" t="s">
        <v>346</v>
      </c>
      <c r="L18" s="33"/>
      <c r="M18" s="33"/>
      <c r="N18" s="33"/>
      <c r="O18" s="33"/>
      <c r="P18" s="33"/>
      <c r="Q18" s="33"/>
      <c r="R18" s="33"/>
      <c r="S18" s="33"/>
    </row>
    <row r="19" spans="1:19">
      <c r="A19" s="33" t="str">
        <f t="shared" si="0"/>
        <v>Add_Sales_Cloud_Active_To_Audit_Preferences_For_Leads_Ln027_SDE__KPMG_Individual_Firm_Details__c_Salesforce_3</v>
      </c>
      <c r="B19" s="34" t="str">
        <f>VLOOKUP($D19,Activities!$D:$G,3,FALSE)</f>
        <v>SQL</v>
      </c>
      <c r="C19" s="44" t="str">
        <f>VLOOKUP($D19,Activities!$D:$G,2,FALSE)</f>
        <v>Add_Sales_Cloud_Active_To_Audit_Preferences_For_Leads</v>
      </c>
      <c r="D19" s="33" t="s">
        <v>366</v>
      </c>
      <c r="E19" s="33" t="s">
        <v>343</v>
      </c>
      <c r="F19" s="33">
        <v>27</v>
      </c>
      <c r="G19" s="33" t="s">
        <v>344</v>
      </c>
      <c r="H19" s="33" t="s">
        <v>348</v>
      </c>
      <c r="I19" s="33" t="s">
        <v>341</v>
      </c>
      <c r="J19" s="33" t="s">
        <v>369</v>
      </c>
      <c r="K19" s="33" t="s">
        <v>348</v>
      </c>
      <c r="L19" s="33" t="s">
        <v>338</v>
      </c>
      <c r="M19" s="33" t="s">
        <v>370</v>
      </c>
      <c r="N19" s="33" t="s">
        <v>350</v>
      </c>
      <c r="O19" s="33"/>
      <c r="P19" s="33"/>
      <c r="Q19" s="33"/>
      <c r="R19" s="33"/>
      <c r="S19" s="33"/>
    </row>
    <row r="20" spans="1:19">
      <c r="A20" s="33" t="str">
        <f t="shared" si="0"/>
        <v>Add_Sales_Cloud_Active_To_Audit_Preferences_For_Leads_Ln030_SDE__Lead_Salesforce_5</v>
      </c>
      <c r="B20" s="34" t="str">
        <f>VLOOKUP($D20,Activities!$D:$G,3,FALSE)</f>
        <v>SQL</v>
      </c>
      <c r="C20" s="44" t="str">
        <f>VLOOKUP($D20,Activities!$D:$G,2,FALSE)</f>
        <v>Add_Sales_Cloud_Active_To_Audit_Preferences_For_Leads</v>
      </c>
      <c r="D20" s="33" t="s">
        <v>366</v>
      </c>
      <c r="E20" s="33" t="s">
        <v>371</v>
      </c>
      <c r="F20" s="33">
        <v>30</v>
      </c>
      <c r="G20" s="33" t="s">
        <v>344</v>
      </c>
      <c r="H20" s="33" t="s">
        <v>348</v>
      </c>
      <c r="I20" s="33" t="s">
        <v>341</v>
      </c>
      <c r="J20" s="33" t="s">
        <v>369</v>
      </c>
      <c r="K20" s="33" t="s">
        <v>348</v>
      </c>
      <c r="L20" s="33" t="s">
        <v>343</v>
      </c>
      <c r="M20" s="33" t="s">
        <v>350</v>
      </c>
      <c r="N20" s="33" t="s">
        <v>372</v>
      </c>
      <c r="O20" s="33"/>
      <c r="P20" s="33"/>
      <c r="Q20" s="33"/>
      <c r="R20" s="33"/>
      <c r="S20" s="33"/>
    </row>
    <row r="21" spans="1:19">
      <c r="A21" s="33" t="str">
        <f t="shared" si="0"/>
        <v>Add_Sales_Cloud_Active_To_Audit_Preferences_For_Contacts_Ln000_DE__Audit_Preferences</v>
      </c>
      <c r="B21" s="34" t="str">
        <f>VLOOKUP($D21,Activities!$D:$G,3,FALSE)</f>
        <v>SQL</v>
      </c>
      <c r="C21" s="44" t="str">
        <f>VLOOKUP($D21,Activities!$D:$G,2,FALSE)</f>
        <v>Add_Sales_Cloud_Active_To_Audit_Preferences_For_Contacts</v>
      </c>
      <c r="D21" s="33" t="s">
        <v>373</v>
      </c>
      <c r="E21" s="33" t="s">
        <v>367</v>
      </c>
      <c r="F21" s="33">
        <v>0</v>
      </c>
      <c r="G21" s="33" t="s">
        <v>339</v>
      </c>
      <c r="H21" s="33" t="s">
        <v>340</v>
      </c>
      <c r="I21" s="33" t="s">
        <v>341</v>
      </c>
      <c r="J21" s="33" t="s">
        <v>368</v>
      </c>
      <c r="K21" s="33" t="s">
        <v>340</v>
      </c>
      <c r="L21" s="33"/>
      <c r="M21" s="33"/>
      <c r="N21" s="33"/>
      <c r="O21" s="33"/>
      <c r="P21" s="33"/>
      <c r="Q21" s="33"/>
      <c r="R21" s="33"/>
      <c r="S21" s="33"/>
    </row>
    <row r="22" spans="1:19">
      <c r="A22" s="33" t="str">
        <f t="shared" si="0"/>
        <v>Add_Sales_Cloud_Active_To_Audit_Preferences_For_Contacts_Ln025_DE__Flip_All_Subscriber_Unsubscribe_to_Active</v>
      </c>
      <c r="B22" s="34" t="str">
        <f>VLOOKUP($D22,Activities!$D:$G,3,FALSE)</f>
        <v>SQL</v>
      </c>
      <c r="C22" s="44" t="str">
        <f>VLOOKUP($D22,Activities!$D:$G,2,FALSE)</f>
        <v>Add_Sales_Cloud_Active_To_Audit_Preferences_For_Contacts</v>
      </c>
      <c r="D22" s="33" t="s">
        <v>373</v>
      </c>
      <c r="E22" s="33" t="s">
        <v>338</v>
      </c>
      <c r="F22" s="33">
        <v>25</v>
      </c>
      <c r="G22" s="33" t="s">
        <v>339</v>
      </c>
      <c r="H22" s="33" t="s">
        <v>12</v>
      </c>
      <c r="I22" s="33" t="s">
        <v>341</v>
      </c>
      <c r="J22" s="33" t="s">
        <v>345</v>
      </c>
      <c r="K22" s="33" t="s">
        <v>346</v>
      </c>
      <c r="L22" s="33"/>
      <c r="M22" s="33"/>
      <c r="N22" s="33"/>
      <c r="O22" s="33"/>
      <c r="P22" s="33"/>
      <c r="Q22" s="33"/>
      <c r="R22" s="33"/>
      <c r="S22" s="33"/>
    </row>
    <row r="23" spans="1:19">
      <c r="A23" s="33" t="str">
        <f t="shared" si="0"/>
        <v>Add_Sales_Cloud_Active_To_Audit_Preferences_For_Contacts_Ln027_SDE__KPMG_Individual_Firm_Details__c_Salesforce_3</v>
      </c>
      <c r="B23" s="34" t="str">
        <f>VLOOKUP($D23,Activities!$D:$G,3,FALSE)</f>
        <v>SQL</v>
      </c>
      <c r="C23" s="44" t="str">
        <f>VLOOKUP($D23,Activities!$D:$G,2,FALSE)</f>
        <v>Add_Sales_Cloud_Active_To_Audit_Preferences_For_Contacts</v>
      </c>
      <c r="D23" s="33" t="s">
        <v>373</v>
      </c>
      <c r="E23" s="33" t="s">
        <v>343</v>
      </c>
      <c r="F23" s="33">
        <v>27</v>
      </c>
      <c r="G23" s="33" t="s">
        <v>344</v>
      </c>
      <c r="H23" s="33" t="s">
        <v>348</v>
      </c>
      <c r="I23" s="33" t="s">
        <v>341</v>
      </c>
      <c r="J23" s="33" t="s">
        <v>349</v>
      </c>
      <c r="K23" s="33" t="s">
        <v>348</v>
      </c>
      <c r="L23" s="33" t="s">
        <v>338</v>
      </c>
      <c r="M23" s="33" t="s">
        <v>370</v>
      </c>
      <c r="N23" s="33" t="s">
        <v>357</v>
      </c>
      <c r="O23" s="33"/>
      <c r="P23" s="33"/>
      <c r="Q23" s="33"/>
      <c r="R23" s="33"/>
      <c r="S23" s="33"/>
    </row>
    <row r="24" spans="1:19">
      <c r="A24" s="33" t="str">
        <f t="shared" si="0"/>
        <v>Add_Sales_Cloud_Active_To_Audit_Preferences_For_Contacts_Ln030_SDE__Contact_Salesforce_5</v>
      </c>
      <c r="B24" s="34" t="str">
        <f>VLOOKUP($D24,Activities!$D:$G,3,FALSE)</f>
        <v>SQL</v>
      </c>
      <c r="C24" s="44" t="str">
        <f>VLOOKUP($D24,Activities!$D:$G,2,FALSE)</f>
        <v>Add_Sales_Cloud_Active_To_Audit_Preferences_For_Contacts</v>
      </c>
      <c r="D24" s="33" t="s">
        <v>373</v>
      </c>
      <c r="E24" s="33" t="s">
        <v>374</v>
      </c>
      <c r="F24" s="33">
        <v>30</v>
      </c>
      <c r="G24" s="33" t="s">
        <v>344</v>
      </c>
      <c r="H24" s="33" t="s">
        <v>348</v>
      </c>
      <c r="I24" s="33" t="s">
        <v>341</v>
      </c>
      <c r="J24" s="33" t="s">
        <v>349</v>
      </c>
      <c r="K24" s="33" t="s">
        <v>348</v>
      </c>
      <c r="L24" s="33" t="s">
        <v>343</v>
      </c>
      <c r="M24" s="33" t="s">
        <v>357</v>
      </c>
      <c r="N24" s="33" t="s">
        <v>372</v>
      </c>
      <c r="O24" s="33"/>
      <c r="P24" s="33"/>
      <c r="Q24" s="33"/>
      <c r="R24" s="33"/>
      <c r="S24" s="33"/>
    </row>
    <row r="25" spans="1:19">
      <c r="A25" s="33" t="str">
        <f t="shared" si="0"/>
        <v>Add_Sales_Cloud_Active_To_Record_Keeper_Ln000_DE__ConsentUpdates_Recordkeeper</v>
      </c>
      <c r="B25" s="34" t="str">
        <f>VLOOKUP($D25,Activities!$D:$G,3,FALSE)</f>
        <v>SQL</v>
      </c>
      <c r="C25" s="44" t="str">
        <f>VLOOKUP($D25,Activities!$D:$G,2,FALSE)</f>
        <v>Add_Sales_Cloud_Active_To_Record_Keeper</v>
      </c>
      <c r="D25" s="33" t="s">
        <v>375</v>
      </c>
      <c r="E25" s="33" t="s">
        <v>376</v>
      </c>
      <c r="F25" s="33">
        <v>0</v>
      </c>
      <c r="G25" s="33" t="s">
        <v>339</v>
      </c>
      <c r="H25" s="33" t="s">
        <v>340</v>
      </c>
      <c r="I25" s="33" t="s">
        <v>341</v>
      </c>
      <c r="J25" s="33" t="s">
        <v>368</v>
      </c>
      <c r="K25" s="33" t="s">
        <v>340</v>
      </c>
      <c r="L25" s="33"/>
      <c r="M25" s="33"/>
      <c r="N25" s="33"/>
      <c r="O25" s="33"/>
      <c r="P25" s="33"/>
      <c r="Q25" s="33"/>
      <c r="R25" s="33"/>
      <c r="S25" s="33"/>
    </row>
    <row r="26" spans="1:19">
      <c r="A26" s="33" t="str">
        <f t="shared" si="0"/>
        <v>Add_Sales_Cloud_Active_To_Record_Keeper_Ln014_DE__Flip_All_Subscriber_Unsubscribe_to_Active</v>
      </c>
      <c r="B26" s="34" t="str">
        <f>VLOOKUP($D26,Activities!$D:$G,3,FALSE)</f>
        <v>SQL</v>
      </c>
      <c r="C26" s="44" t="str">
        <f>VLOOKUP($D26,Activities!$D:$G,2,FALSE)</f>
        <v>Add_Sales_Cloud_Active_To_Record_Keeper</v>
      </c>
      <c r="D26" s="33" t="s">
        <v>375</v>
      </c>
      <c r="E26" s="33" t="s">
        <v>338</v>
      </c>
      <c r="F26" s="33">
        <v>14</v>
      </c>
      <c r="G26" s="33" t="s">
        <v>339</v>
      </c>
      <c r="H26" s="33" t="s">
        <v>12</v>
      </c>
      <c r="I26" s="33" t="s">
        <v>341</v>
      </c>
      <c r="J26" s="33" t="s">
        <v>345</v>
      </c>
      <c r="K26" s="33" t="s">
        <v>346</v>
      </c>
      <c r="L26" s="33"/>
      <c r="M26" s="33"/>
      <c r="N26" s="33"/>
      <c r="O26" s="33"/>
      <c r="P26" s="33"/>
      <c r="Q26" s="33"/>
      <c r="R26" s="33"/>
      <c r="S26" s="33"/>
    </row>
    <row r="27" spans="1:19">
      <c r="A27" s="33" t="str">
        <f t="shared" si="0"/>
        <v>Add_Sales_Cloud_Active_To_Record_Keeper_Ln016_SDE__Lead_Salesforce_5</v>
      </c>
      <c r="B27" s="34" t="str">
        <f>VLOOKUP($D27,Activities!$D:$G,3,FALSE)</f>
        <v>SQL</v>
      </c>
      <c r="C27" s="44" t="str">
        <f>VLOOKUP($D27,Activities!$D:$G,2,FALSE)</f>
        <v>Add_Sales_Cloud_Active_To_Record_Keeper</v>
      </c>
      <c r="D27" s="33" t="s">
        <v>375</v>
      </c>
      <c r="E27" s="33" t="s">
        <v>371</v>
      </c>
      <c r="F27" s="33">
        <v>16</v>
      </c>
      <c r="G27" s="33" t="s">
        <v>344</v>
      </c>
      <c r="H27" s="33" t="s">
        <v>348</v>
      </c>
      <c r="I27" s="33" t="s">
        <v>341</v>
      </c>
      <c r="J27" s="33" t="s">
        <v>369</v>
      </c>
      <c r="K27" s="33" t="s">
        <v>348</v>
      </c>
      <c r="L27" s="33" t="s">
        <v>338</v>
      </c>
      <c r="M27" s="33" t="s">
        <v>370</v>
      </c>
      <c r="N27" s="33" t="s">
        <v>372</v>
      </c>
      <c r="O27" s="33"/>
      <c r="P27" s="33"/>
      <c r="Q27" s="33"/>
      <c r="R27" s="33"/>
      <c r="S27" s="33"/>
    </row>
    <row r="28" spans="1:19">
      <c r="A28" s="33" t="str">
        <f t="shared" si="0"/>
        <v>Add_Sales_Cloud_Active_To_Record_Keeper_Ln019_SDE__Contact_Salesforce_5</v>
      </c>
      <c r="B28" s="34" t="str">
        <f>VLOOKUP($D28,Activities!$D:$G,3,FALSE)</f>
        <v>SQL</v>
      </c>
      <c r="C28" s="44" t="str">
        <f>VLOOKUP($D28,Activities!$D:$G,2,FALSE)</f>
        <v>Add_Sales_Cloud_Active_To_Record_Keeper</v>
      </c>
      <c r="D28" s="33" t="s">
        <v>375</v>
      </c>
      <c r="E28" s="33" t="s">
        <v>374</v>
      </c>
      <c r="F28" s="33">
        <v>19</v>
      </c>
      <c r="G28" s="33" t="s">
        <v>344</v>
      </c>
      <c r="H28" s="33" t="s">
        <v>348</v>
      </c>
      <c r="I28" s="33" t="s">
        <v>341</v>
      </c>
      <c r="J28" s="33" t="s">
        <v>369</v>
      </c>
      <c r="K28" s="33" t="s">
        <v>348</v>
      </c>
      <c r="L28" s="33" t="s">
        <v>338</v>
      </c>
      <c r="M28" s="33" t="s">
        <v>370</v>
      </c>
      <c r="N28" s="33" t="s">
        <v>372</v>
      </c>
      <c r="O28" s="33"/>
      <c r="P28" s="33"/>
      <c r="Q28" s="33"/>
      <c r="R28" s="33"/>
      <c r="S28" s="33"/>
    </row>
    <row r="29" spans="1:19">
      <c r="A29" s="33" t="str">
        <f t="shared" si="0"/>
        <v>Flip_Active_To_Unsubscribe_For_Lead_Ln000_DE__Preferences-Update_Unsubscribed_in_AllSubscribers</v>
      </c>
      <c r="B29" s="34" t="str">
        <f>VLOOKUP($D29,Activities!$D:$G,3,FALSE)</f>
        <v>SQL</v>
      </c>
      <c r="C29" s="44" t="str">
        <f>VLOOKUP($D29,Activities!$D:$G,2,FALSE)</f>
        <v>Flip_Active_To_Unsubscribe_For_Lead</v>
      </c>
      <c r="D29" s="33" t="s">
        <v>377</v>
      </c>
      <c r="E29" s="33" t="s">
        <v>378</v>
      </c>
      <c r="F29" s="33">
        <v>0</v>
      </c>
      <c r="G29" s="33" t="s">
        <v>339</v>
      </c>
      <c r="H29" s="33" t="s">
        <v>340</v>
      </c>
      <c r="I29" s="33" t="s">
        <v>341</v>
      </c>
      <c r="J29" s="33" t="s">
        <v>342</v>
      </c>
      <c r="K29" s="33" t="s">
        <v>340</v>
      </c>
      <c r="L29" s="33"/>
      <c r="M29" s="33"/>
      <c r="N29" s="33"/>
      <c r="O29" s="33"/>
      <c r="P29" s="33"/>
      <c r="Q29" s="33"/>
      <c r="R29" s="33"/>
      <c r="S29" s="33"/>
    </row>
    <row r="30" spans="1:19">
      <c r="A30" s="33" t="str">
        <f t="shared" si="0"/>
        <v>Flip_Active_To_Unsubscribe_For_Lead_Ln008_SDE__KPMG_Individual_Firm_Details__c_Salesforce_3</v>
      </c>
      <c r="B30" s="34" t="str">
        <f>VLOOKUP($D30,Activities!$D:$G,3,FALSE)</f>
        <v>SQL</v>
      </c>
      <c r="C30" s="44" t="str">
        <f>VLOOKUP($D30,Activities!$D:$G,2,FALSE)</f>
        <v>Flip_Active_To_Unsubscribe_For_Lead</v>
      </c>
      <c r="D30" s="33" t="s">
        <v>377</v>
      </c>
      <c r="E30" s="33" t="s">
        <v>343</v>
      </c>
      <c r="F30" s="33">
        <v>8</v>
      </c>
      <c r="G30" s="33" t="s">
        <v>344</v>
      </c>
      <c r="H30" s="33" t="s">
        <v>12</v>
      </c>
      <c r="I30" s="33" t="s">
        <v>341</v>
      </c>
      <c r="J30" s="33" t="s">
        <v>345</v>
      </c>
      <c r="K30" s="33" t="s">
        <v>346</v>
      </c>
      <c r="L30" s="33"/>
      <c r="M30" s="33"/>
      <c r="N30" s="33"/>
      <c r="O30" s="33"/>
      <c r="P30" s="33"/>
      <c r="Q30" s="33"/>
      <c r="R30" s="33"/>
      <c r="S30" s="33"/>
    </row>
    <row r="31" spans="1:19">
      <c r="A31" s="33" t="str">
        <f t="shared" si="0"/>
        <v>Flip_Active_To_Unsubscribe_For_Lead_Ln010_SDE__ContactPointEmail_Salesforce_5</v>
      </c>
      <c r="B31" s="34" t="str">
        <f>VLOOKUP($D31,Activities!$D:$G,3,FALSE)</f>
        <v>SQL</v>
      </c>
      <c r="C31" s="44" t="str">
        <f>VLOOKUP($D31,Activities!$D:$G,2,FALSE)</f>
        <v>Flip_Active_To_Unsubscribe_For_Lead</v>
      </c>
      <c r="D31" s="33" t="s">
        <v>377</v>
      </c>
      <c r="E31" s="33" t="s">
        <v>347</v>
      </c>
      <c r="F31" s="33">
        <v>10</v>
      </c>
      <c r="G31" s="33" t="s">
        <v>344</v>
      </c>
      <c r="H31" s="33" t="s">
        <v>348</v>
      </c>
      <c r="I31" s="33" t="s">
        <v>341</v>
      </c>
      <c r="J31" s="33" t="s">
        <v>349</v>
      </c>
      <c r="K31" s="33" t="s">
        <v>348</v>
      </c>
      <c r="L31" s="33" t="s">
        <v>343</v>
      </c>
      <c r="M31" s="33" t="s">
        <v>350</v>
      </c>
      <c r="N31" s="33" t="s">
        <v>351</v>
      </c>
      <c r="O31" s="33"/>
      <c r="P31" s="33"/>
      <c r="Q31" s="33"/>
      <c r="R31" s="33"/>
      <c r="S31" s="33"/>
    </row>
    <row r="32" spans="1:19">
      <c r="A32" s="33" t="str">
        <f t="shared" si="0"/>
        <v>Flip_Active_To_Unsubscribe_For_Lead_Ln013_DV___Subscribers</v>
      </c>
      <c r="B32" s="34" t="str">
        <f>VLOOKUP($D32,Activities!$D:$G,3,FALSE)</f>
        <v>SQL</v>
      </c>
      <c r="C32" s="44" t="str">
        <f>VLOOKUP($D32,Activities!$D:$G,2,FALSE)</f>
        <v>Flip_Active_To_Unsubscribe_For_Lead</v>
      </c>
      <c r="D32" s="33" t="s">
        <v>377</v>
      </c>
      <c r="E32" s="33" t="s">
        <v>352</v>
      </c>
      <c r="F32" s="33">
        <v>13</v>
      </c>
      <c r="G32" s="33" t="s">
        <v>353</v>
      </c>
      <c r="H32" s="33" t="s">
        <v>348</v>
      </c>
      <c r="I32" s="33" t="s">
        <v>341</v>
      </c>
      <c r="J32" s="33" t="s">
        <v>349</v>
      </c>
      <c r="K32" s="33" t="s">
        <v>348</v>
      </c>
      <c r="L32" s="33" t="s">
        <v>347</v>
      </c>
      <c r="M32" s="33" t="s">
        <v>354</v>
      </c>
      <c r="N32" s="33" t="s">
        <v>354</v>
      </c>
      <c r="O32" s="33"/>
      <c r="P32" s="33"/>
      <c r="Q32" s="33"/>
      <c r="R32" s="33"/>
      <c r="S32" s="33"/>
    </row>
    <row r="33" spans="1:19">
      <c r="A33" s="33" t="str">
        <f t="shared" si="0"/>
        <v>Flip_Active_To_Unsubscribe_For_Contact_Ln000_DE__Preferences-Update_Unsubscribed_in_AllSubscribers</v>
      </c>
      <c r="B33" s="34" t="str">
        <f>VLOOKUP($D33,Activities!$D:$G,3,FALSE)</f>
        <v>SQL</v>
      </c>
      <c r="C33" s="44" t="str">
        <f>VLOOKUP($D33,Activities!$D:$G,2,FALSE)</f>
        <v>Flip_Active_To_Unsubscribe_For_Contact</v>
      </c>
      <c r="D33" s="33" t="s">
        <v>379</v>
      </c>
      <c r="E33" s="33" t="s">
        <v>378</v>
      </c>
      <c r="F33" s="33">
        <v>0</v>
      </c>
      <c r="G33" s="33" t="s">
        <v>339</v>
      </c>
      <c r="H33" s="33" t="s">
        <v>340</v>
      </c>
      <c r="I33" s="33" t="s">
        <v>341</v>
      </c>
      <c r="J33" s="33" t="s">
        <v>356</v>
      </c>
      <c r="K33" s="33" t="s">
        <v>340</v>
      </c>
      <c r="L33" s="33"/>
      <c r="M33" s="33"/>
      <c r="N33" s="33"/>
      <c r="O33" s="33"/>
      <c r="P33" s="33"/>
      <c r="Q33" s="33"/>
      <c r="R33" s="33"/>
      <c r="S33" s="33"/>
    </row>
    <row r="34" spans="1:19">
      <c r="A34" s="33" t="str">
        <f t="shared" si="0"/>
        <v>Flip_Active_To_Unsubscribe_For_Contact_Ln008_SDE__KPMG_Individual_Firm_Details__c_Salesforce_3</v>
      </c>
      <c r="B34" s="34" t="str">
        <f>VLOOKUP($D34,Activities!$D:$G,3,FALSE)</f>
        <v>SQL</v>
      </c>
      <c r="C34" s="44" t="str">
        <f>VLOOKUP($D34,Activities!$D:$G,2,FALSE)</f>
        <v>Flip_Active_To_Unsubscribe_For_Contact</v>
      </c>
      <c r="D34" s="33" t="s">
        <v>379</v>
      </c>
      <c r="E34" s="33" t="s">
        <v>343</v>
      </c>
      <c r="F34" s="33">
        <v>8</v>
      </c>
      <c r="G34" s="33" t="s">
        <v>344</v>
      </c>
      <c r="H34" s="33" t="s">
        <v>12</v>
      </c>
      <c r="I34" s="33" t="s">
        <v>341</v>
      </c>
      <c r="J34" s="33" t="s">
        <v>345</v>
      </c>
      <c r="K34" s="33" t="s">
        <v>346</v>
      </c>
      <c r="L34" s="33"/>
      <c r="M34" s="33"/>
      <c r="N34" s="33"/>
      <c r="O34" s="33"/>
      <c r="P34" s="33"/>
      <c r="Q34" s="33"/>
      <c r="R34" s="33"/>
      <c r="S34" s="33"/>
    </row>
    <row r="35" spans="1:19">
      <c r="A35" s="33" t="str">
        <f t="shared" si="0"/>
        <v>Flip_Active_To_Unsubscribe_For_Contact_Ln010_SDE__ContactPointEmail_Salesforce_5</v>
      </c>
      <c r="B35" s="34" t="str">
        <f>VLOOKUP($D35,Activities!$D:$G,3,FALSE)</f>
        <v>SQL</v>
      </c>
      <c r="C35" s="44" t="str">
        <f>VLOOKUP($D35,Activities!$D:$G,2,FALSE)</f>
        <v>Flip_Active_To_Unsubscribe_For_Contact</v>
      </c>
      <c r="D35" s="33" t="s">
        <v>379</v>
      </c>
      <c r="E35" s="33" t="s">
        <v>347</v>
      </c>
      <c r="F35" s="33">
        <v>10</v>
      </c>
      <c r="G35" s="33" t="s">
        <v>344</v>
      </c>
      <c r="H35" s="33" t="s">
        <v>348</v>
      </c>
      <c r="I35" s="33" t="s">
        <v>341</v>
      </c>
      <c r="J35" s="33" t="s">
        <v>349</v>
      </c>
      <c r="K35" s="33" t="s">
        <v>348</v>
      </c>
      <c r="L35" s="33" t="s">
        <v>343</v>
      </c>
      <c r="M35" s="33" t="s">
        <v>357</v>
      </c>
      <c r="N35" s="33" t="s">
        <v>351</v>
      </c>
      <c r="O35" s="33"/>
      <c r="P35" s="33"/>
      <c r="Q35" s="33"/>
      <c r="R35" s="33"/>
      <c r="S35" s="33"/>
    </row>
    <row r="36" spans="1:19">
      <c r="A36" s="33" t="str">
        <f t="shared" si="0"/>
        <v>Flip_Active_To_Unsubscribe_For_Contact_Ln013_DV___Subscribers</v>
      </c>
      <c r="B36" s="34" t="str">
        <f>VLOOKUP($D36,Activities!$D:$G,3,FALSE)</f>
        <v>SQL</v>
      </c>
      <c r="C36" s="44" t="str">
        <f>VLOOKUP($D36,Activities!$D:$G,2,FALSE)</f>
        <v>Flip_Active_To_Unsubscribe_For_Contact</v>
      </c>
      <c r="D36" s="33" t="s">
        <v>379</v>
      </c>
      <c r="E36" s="33" t="s">
        <v>352</v>
      </c>
      <c r="F36" s="33">
        <v>13</v>
      </c>
      <c r="G36" s="33" t="s">
        <v>353</v>
      </c>
      <c r="H36" s="33" t="s">
        <v>348</v>
      </c>
      <c r="I36" s="33" t="s">
        <v>341</v>
      </c>
      <c r="J36" s="33" t="s">
        <v>349</v>
      </c>
      <c r="K36" s="33" t="s">
        <v>348</v>
      </c>
      <c r="L36" s="33" t="s">
        <v>347</v>
      </c>
      <c r="M36" s="33" t="s">
        <v>354</v>
      </c>
      <c r="N36" s="33" t="s">
        <v>354</v>
      </c>
      <c r="O36" s="33"/>
      <c r="P36" s="33"/>
      <c r="Q36" s="33"/>
      <c r="R36" s="33"/>
      <c r="S36" s="33"/>
    </row>
    <row r="37" spans="1:19">
      <c r="A37" s="33" t="str">
        <f t="shared" si="0"/>
        <v>Final_Preferences-Update_Unsubscribed_in_AllSubscribers_Ln000_DE__Final_Preferences-Update_Unsubscribed_in_AllSubscribers</v>
      </c>
      <c r="B37" s="34" t="str">
        <f>VLOOKUP($D37,Activities!$D:$G,3,FALSE)</f>
        <v>SQL</v>
      </c>
      <c r="C37" s="44" t="str">
        <f>VLOOKUP($D37,Activities!$D:$G,2,FALSE)</f>
        <v>Final_Preferences-Update_Unsubscribed_in_AllSubscribers</v>
      </c>
      <c r="D37" s="33" t="s">
        <v>380</v>
      </c>
      <c r="E37" s="33" t="s">
        <v>381</v>
      </c>
      <c r="F37" s="33">
        <v>0</v>
      </c>
      <c r="G37" s="33" t="s">
        <v>339</v>
      </c>
      <c r="H37" s="33" t="s">
        <v>340</v>
      </c>
      <c r="I37" s="33" t="s">
        <v>341</v>
      </c>
      <c r="J37" s="33" t="s">
        <v>342</v>
      </c>
      <c r="K37" s="33" t="s">
        <v>340</v>
      </c>
      <c r="L37" s="33"/>
      <c r="M37" s="33"/>
      <c r="N37" s="33"/>
      <c r="O37" s="33"/>
      <c r="P37" s="33"/>
      <c r="Q37" s="33"/>
      <c r="R37" s="33"/>
      <c r="S37" s="33"/>
    </row>
    <row r="38" spans="1:19">
      <c r="A38" s="33" t="str">
        <f t="shared" si="0"/>
        <v>Final_Preferences-Update_Unsubscribed_in_AllSubscribers_Ln003_DE__Preferences-Update_Unsubscribed_in_AllSubscribers</v>
      </c>
      <c r="B38" s="34" t="str">
        <f>VLOOKUP($D38,Activities!$D:$G,3,FALSE)</f>
        <v>SQL</v>
      </c>
      <c r="C38" s="44" t="str">
        <f>VLOOKUP($D38,Activities!$D:$G,2,FALSE)</f>
        <v>Final_Preferences-Update_Unsubscribed_in_AllSubscribers</v>
      </c>
      <c r="D38" s="33" t="s">
        <v>380</v>
      </c>
      <c r="E38" s="33" t="s">
        <v>378</v>
      </c>
      <c r="F38" s="33">
        <v>3</v>
      </c>
      <c r="G38" s="33" t="s">
        <v>339</v>
      </c>
      <c r="H38" s="33" t="s">
        <v>12</v>
      </c>
      <c r="I38" s="33" t="s">
        <v>341</v>
      </c>
      <c r="J38" s="33" t="s">
        <v>345</v>
      </c>
      <c r="K38" s="33" t="s">
        <v>346</v>
      </c>
      <c r="L38" s="33"/>
      <c r="M38" s="33"/>
      <c r="N38" s="33"/>
      <c r="O38" s="33"/>
      <c r="P38" s="33"/>
      <c r="Q38" s="33"/>
      <c r="R38" s="33"/>
      <c r="S38" s="33"/>
    </row>
    <row r="39" spans="1:19">
      <c r="A39" s="33" t="str">
        <f t="shared" si="0"/>
        <v>Update_Opt_Out_To_Unsubscriber_Preferences_Email_Ln000_DE__Unsubscriber_Preferences_Email</v>
      </c>
      <c r="B39" s="34" t="str">
        <f>VLOOKUP($D39,Activities!$D:$G,3,FALSE)</f>
        <v>SQL</v>
      </c>
      <c r="C39" s="44" t="str">
        <f>VLOOKUP($D39,Activities!$D:$G,2,FALSE)</f>
        <v>Update_Opt_Out_To_Unsubscriber_Preferences_Email</v>
      </c>
      <c r="D39" s="33" t="s">
        <v>382</v>
      </c>
      <c r="E39" s="33" t="s">
        <v>383</v>
      </c>
      <c r="F39" s="33">
        <v>0</v>
      </c>
      <c r="G39" s="33" t="s">
        <v>339</v>
      </c>
      <c r="H39" s="33" t="s">
        <v>340</v>
      </c>
      <c r="I39" s="33" t="s">
        <v>341</v>
      </c>
      <c r="J39" s="33" t="s">
        <v>356</v>
      </c>
      <c r="K39" s="33" t="s">
        <v>340</v>
      </c>
      <c r="L39" s="33"/>
      <c r="M39" s="33"/>
      <c r="N39" s="33"/>
      <c r="O39" s="33"/>
      <c r="P39" s="33"/>
      <c r="Q39" s="33"/>
      <c r="R39" s="33"/>
      <c r="S39" s="33"/>
    </row>
    <row r="40" spans="1:19">
      <c r="A40" s="33" t="str">
        <f t="shared" si="0"/>
        <v>Update_Opt_Out_To_Unsubscriber_Preferences_Email_Ln036_DE__Subscriber_Preferences_Email</v>
      </c>
      <c r="B40" s="34" t="str">
        <f>VLOOKUP($D40,Activities!$D:$G,3,FALSE)</f>
        <v>SQL</v>
      </c>
      <c r="C40" s="44" t="str">
        <f>VLOOKUP($D40,Activities!$D:$G,2,FALSE)</f>
        <v>Update_Opt_Out_To_Unsubscriber_Preferences_Email</v>
      </c>
      <c r="D40" s="33" t="s">
        <v>382</v>
      </c>
      <c r="E40" s="33" t="s">
        <v>384</v>
      </c>
      <c r="F40" s="33">
        <v>36</v>
      </c>
      <c r="G40" s="33" t="s">
        <v>339</v>
      </c>
      <c r="H40" s="33" t="s">
        <v>12</v>
      </c>
      <c r="I40" s="33" t="s">
        <v>341</v>
      </c>
      <c r="J40" s="33" t="s">
        <v>345</v>
      </c>
      <c r="K40" s="33" t="s">
        <v>346</v>
      </c>
      <c r="L40" s="33"/>
      <c r="M40" s="33"/>
      <c r="N40" s="33"/>
      <c r="O40" s="33"/>
      <c r="P40" s="33"/>
      <c r="Q40" s="33"/>
      <c r="R40" s="33"/>
      <c r="S40" s="33"/>
    </row>
    <row r="41" spans="1:19">
      <c r="A41" s="33" t="str">
        <f t="shared" si="0"/>
        <v>Update_Opt_Out_To_Unsubscriber_Preferences_Email_Ln038_DE__Preferences-Update_Unsubscribed_in_AllSubscribers</v>
      </c>
      <c r="B41" s="34" t="str">
        <f>VLOOKUP($D41,Activities!$D:$G,3,FALSE)</f>
        <v>SQL</v>
      </c>
      <c r="C41" s="44" t="str">
        <f>VLOOKUP($D41,Activities!$D:$G,2,FALSE)</f>
        <v>Update_Opt_Out_To_Unsubscriber_Preferences_Email</v>
      </c>
      <c r="D41" s="33" t="s">
        <v>382</v>
      </c>
      <c r="E41" s="33" t="s">
        <v>378</v>
      </c>
      <c r="F41" s="33">
        <v>38</v>
      </c>
      <c r="G41" s="33" t="s">
        <v>339</v>
      </c>
      <c r="H41" s="33" t="s">
        <v>348</v>
      </c>
      <c r="I41" s="33" t="s">
        <v>341</v>
      </c>
      <c r="J41" s="33" t="s">
        <v>385</v>
      </c>
      <c r="K41" s="33" t="s">
        <v>348</v>
      </c>
      <c r="L41" s="33" t="s">
        <v>384</v>
      </c>
      <c r="M41" s="33" t="s">
        <v>354</v>
      </c>
      <c r="N41" s="33" t="s">
        <v>354</v>
      </c>
      <c r="O41" s="33"/>
      <c r="P41" s="33"/>
      <c r="Q41" s="33"/>
      <c r="R41" s="33"/>
      <c r="S41" s="33"/>
    </row>
    <row r="42" spans="1:19">
      <c r="A42" s="33" t="str">
        <f t="shared" si="0"/>
        <v>Update_Opt_Out_To_Unsubscriber_Preferences_Email_Ln039_DE__MasterSendLog</v>
      </c>
      <c r="B42" s="34" t="str">
        <f>VLOOKUP($D42,Activities!$D:$G,3,FALSE)</f>
        <v>SQL</v>
      </c>
      <c r="C42" s="44" t="str">
        <f>VLOOKUP($D42,Activities!$D:$G,2,FALSE)</f>
        <v>Update_Opt_Out_To_Unsubscriber_Preferences_Email</v>
      </c>
      <c r="D42" s="33" t="s">
        <v>382</v>
      </c>
      <c r="E42" s="33" t="s">
        <v>386</v>
      </c>
      <c r="F42" s="33">
        <v>39</v>
      </c>
      <c r="G42" s="33" t="s">
        <v>339</v>
      </c>
      <c r="H42" s="33" t="s">
        <v>348</v>
      </c>
      <c r="I42" s="33" t="s">
        <v>341</v>
      </c>
      <c r="J42" s="33" t="s">
        <v>369</v>
      </c>
      <c r="K42" s="33" t="s">
        <v>348</v>
      </c>
      <c r="L42" s="33" t="s">
        <v>378</v>
      </c>
      <c r="M42" s="33" t="s">
        <v>387</v>
      </c>
      <c r="N42" s="33" t="s">
        <v>354</v>
      </c>
      <c r="O42" s="33"/>
      <c r="P42" s="33"/>
      <c r="Q42" s="33"/>
      <c r="R42" s="33"/>
      <c r="S42" s="33"/>
    </row>
    <row r="43" spans="1:19">
      <c r="A43" s="33" t="str">
        <f t="shared" si="0"/>
        <v>Update_Opt_Out_To_Unsubscriber_Preferences_Email_Ln042_SDE__Lead_Salesforce_5</v>
      </c>
      <c r="B43" s="34" t="str">
        <f>VLOOKUP($D43,Activities!$D:$G,3,FALSE)</f>
        <v>SQL</v>
      </c>
      <c r="C43" s="44" t="str">
        <f>VLOOKUP($D43,Activities!$D:$G,2,FALSE)</f>
        <v>Update_Opt_Out_To_Unsubscriber_Preferences_Email</v>
      </c>
      <c r="D43" s="33" t="s">
        <v>382</v>
      </c>
      <c r="E43" s="33" t="s">
        <v>371</v>
      </c>
      <c r="F43" s="33">
        <v>42</v>
      </c>
      <c r="G43" s="33" t="s">
        <v>344</v>
      </c>
      <c r="H43" s="33" t="s">
        <v>348</v>
      </c>
      <c r="I43" s="33" t="s">
        <v>341</v>
      </c>
      <c r="J43" s="33" t="s">
        <v>369</v>
      </c>
      <c r="K43" s="33" t="s">
        <v>348</v>
      </c>
      <c r="L43" s="33" t="s">
        <v>384</v>
      </c>
      <c r="M43" s="33" t="s">
        <v>372</v>
      </c>
      <c r="N43" s="33" t="s">
        <v>25</v>
      </c>
      <c r="O43" s="33"/>
      <c r="P43" s="33"/>
      <c r="Q43" s="33"/>
      <c r="R43" s="33"/>
      <c r="S43" s="33"/>
    </row>
    <row r="44" spans="1:19">
      <c r="A44" s="33" t="str">
        <f t="shared" si="0"/>
        <v>Update_Opt_Out_To_Unsubscriber_Preferences_Email_Ln044_SDE__Contact_Salesforce_5</v>
      </c>
      <c r="B44" s="34" t="str">
        <f>VLOOKUP($D44,Activities!$D:$G,3,FALSE)</f>
        <v>SQL</v>
      </c>
      <c r="C44" s="44" t="str">
        <f>VLOOKUP($D44,Activities!$D:$G,2,FALSE)</f>
        <v>Update_Opt_Out_To_Unsubscriber_Preferences_Email</v>
      </c>
      <c r="D44" s="33" t="s">
        <v>382</v>
      </c>
      <c r="E44" s="33" t="s">
        <v>374</v>
      </c>
      <c r="F44" s="33">
        <v>44</v>
      </c>
      <c r="G44" s="33" t="s">
        <v>344</v>
      </c>
      <c r="H44" s="33" t="s">
        <v>348</v>
      </c>
      <c r="I44" s="33" t="s">
        <v>341</v>
      </c>
      <c r="J44" s="33" t="s">
        <v>369</v>
      </c>
      <c r="K44" s="33" t="s">
        <v>348</v>
      </c>
      <c r="L44" s="33" t="s">
        <v>384</v>
      </c>
      <c r="M44" s="33" t="s">
        <v>372</v>
      </c>
      <c r="N44" s="33" t="s">
        <v>25</v>
      </c>
      <c r="O44" s="33"/>
      <c r="P44" s="33"/>
      <c r="Q44" s="33"/>
      <c r="R44" s="33"/>
      <c r="S44" s="33"/>
    </row>
    <row r="45" spans="1:19">
      <c r="A45" s="33" t="str">
        <f t="shared" si="0"/>
        <v>Add_Opt_Out_To_Audit_Preferences_From_Unsubscribe_Pref_Email_Ln000_DE__Audit_Preferences</v>
      </c>
      <c r="B45" s="34" t="str">
        <f>VLOOKUP($D45,Activities!$D:$G,3,FALSE)</f>
        <v>SQL</v>
      </c>
      <c r="C45" s="44" t="str">
        <f>VLOOKUP($D45,Activities!$D:$G,2,FALSE)</f>
        <v>Add_Opt_Out_To_Audit_Preferences_From_Unsubscribe_Pref_Email</v>
      </c>
      <c r="D45" s="33" t="s">
        <v>388</v>
      </c>
      <c r="E45" s="33" t="s">
        <v>367</v>
      </c>
      <c r="F45" s="33">
        <v>0</v>
      </c>
      <c r="G45" s="33" t="s">
        <v>339</v>
      </c>
      <c r="H45" s="33" t="s">
        <v>340</v>
      </c>
      <c r="I45" s="33" t="s">
        <v>341</v>
      </c>
      <c r="J45" s="33" t="s">
        <v>368</v>
      </c>
      <c r="K45" s="33" t="s">
        <v>340</v>
      </c>
      <c r="L45" s="33"/>
      <c r="M45" s="33"/>
      <c r="N45" s="33"/>
      <c r="O45" s="33"/>
      <c r="P45" s="33"/>
      <c r="Q45" s="33"/>
      <c r="R45" s="33"/>
      <c r="S45" s="33"/>
    </row>
    <row r="46" spans="1:19">
      <c r="A46" s="33" t="str">
        <f t="shared" si="0"/>
        <v>Add_Opt_Out_To_Audit_Preferences_From_Unsubscribe_Pref_Email_Ln034_DE__Subscriber_Preferences_Email</v>
      </c>
      <c r="B46" s="34" t="str">
        <f>VLOOKUP($D46,Activities!$D:$G,3,FALSE)</f>
        <v>SQL</v>
      </c>
      <c r="C46" s="44" t="str">
        <f>VLOOKUP($D46,Activities!$D:$G,2,FALSE)</f>
        <v>Add_Opt_Out_To_Audit_Preferences_From_Unsubscribe_Pref_Email</v>
      </c>
      <c r="D46" s="33" t="s">
        <v>388</v>
      </c>
      <c r="E46" s="33" t="s">
        <v>384</v>
      </c>
      <c r="F46" s="33">
        <v>34</v>
      </c>
      <c r="G46" s="33" t="s">
        <v>339</v>
      </c>
      <c r="H46" s="33" t="s">
        <v>12</v>
      </c>
      <c r="I46" s="33" t="s">
        <v>341</v>
      </c>
      <c r="J46" s="33" t="s">
        <v>345</v>
      </c>
      <c r="K46" s="33" t="s">
        <v>346</v>
      </c>
      <c r="L46" s="33"/>
      <c r="M46" s="33"/>
      <c r="N46" s="33"/>
      <c r="O46" s="33"/>
      <c r="P46" s="33"/>
      <c r="Q46" s="33"/>
      <c r="R46" s="33"/>
      <c r="S46" s="33"/>
    </row>
    <row r="47" spans="1:19">
      <c r="A47" s="33" t="str">
        <f t="shared" si="0"/>
        <v>Add_Opt_Out_To_Audit_Preferences_From_Unsubscribe_Pref_Email_Ln036_DE__Preferences-Update_Unsubscribed_in_AllSubscribers</v>
      </c>
      <c r="B47" s="34" t="str">
        <f>VLOOKUP($D47,Activities!$D:$G,3,FALSE)</f>
        <v>SQL</v>
      </c>
      <c r="C47" s="44" t="str">
        <f>VLOOKUP($D47,Activities!$D:$G,2,FALSE)</f>
        <v>Add_Opt_Out_To_Audit_Preferences_From_Unsubscribe_Pref_Email</v>
      </c>
      <c r="D47" s="33" t="s">
        <v>388</v>
      </c>
      <c r="E47" s="33" t="s">
        <v>378</v>
      </c>
      <c r="F47" s="33">
        <v>36</v>
      </c>
      <c r="G47" s="33" t="s">
        <v>339</v>
      </c>
      <c r="H47" s="33" t="s">
        <v>348</v>
      </c>
      <c r="I47" s="33" t="s">
        <v>341</v>
      </c>
      <c r="J47" s="33" t="s">
        <v>349</v>
      </c>
      <c r="K47" s="33" t="s">
        <v>348</v>
      </c>
      <c r="L47" s="33" t="s">
        <v>384</v>
      </c>
      <c r="M47" s="33" t="s">
        <v>354</v>
      </c>
      <c r="N47" s="33" t="s">
        <v>354</v>
      </c>
      <c r="O47" s="33"/>
      <c r="P47" s="33"/>
      <c r="Q47" s="33"/>
      <c r="R47" s="33"/>
      <c r="S47" s="33"/>
    </row>
    <row r="48" spans="1:19">
      <c r="A48" s="33" t="str">
        <f t="shared" si="0"/>
        <v>Add_Opt_Out_To_Audit_Preferences_From_Unsubscribe_Pref_Email_Ln037_DE__MasterSendLog</v>
      </c>
      <c r="B48" s="34" t="str">
        <f>VLOOKUP($D48,Activities!$D:$G,3,FALSE)</f>
        <v>SQL</v>
      </c>
      <c r="C48" s="44" t="str">
        <f>VLOOKUP($D48,Activities!$D:$G,2,FALSE)</f>
        <v>Add_Opt_Out_To_Audit_Preferences_From_Unsubscribe_Pref_Email</v>
      </c>
      <c r="D48" s="33" t="s">
        <v>388</v>
      </c>
      <c r="E48" s="33" t="s">
        <v>386</v>
      </c>
      <c r="F48" s="33">
        <v>37</v>
      </c>
      <c r="G48" s="33" t="s">
        <v>339</v>
      </c>
      <c r="H48" s="33" t="s">
        <v>348</v>
      </c>
      <c r="I48" s="33" t="s">
        <v>341</v>
      </c>
      <c r="J48" s="33" t="s">
        <v>369</v>
      </c>
      <c r="K48" s="33" t="s">
        <v>348</v>
      </c>
      <c r="L48" s="33" t="s">
        <v>378</v>
      </c>
      <c r="M48" s="33" t="s">
        <v>387</v>
      </c>
      <c r="N48" s="33" t="s">
        <v>354</v>
      </c>
      <c r="O48" s="33"/>
      <c r="P48" s="33"/>
      <c r="Q48" s="33"/>
      <c r="R48" s="33"/>
      <c r="S48" s="33"/>
    </row>
    <row r="49" spans="1:19">
      <c r="A49" s="33" t="str">
        <f t="shared" si="0"/>
        <v>Add_Opt_Out_To_Audit_Preferences_From_Unsubscribe_Pref_Email_Ln040_SDE__Lead_Salesforce_5</v>
      </c>
      <c r="B49" s="34" t="str">
        <f>VLOOKUP($D49,Activities!$D:$G,3,FALSE)</f>
        <v>SQL</v>
      </c>
      <c r="C49" s="44" t="str">
        <f>VLOOKUP($D49,Activities!$D:$G,2,FALSE)</f>
        <v>Add_Opt_Out_To_Audit_Preferences_From_Unsubscribe_Pref_Email</v>
      </c>
      <c r="D49" s="33" t="s">
        <v>388</v>
      </c>
      <c r="E49" s="33" t="s">
        <v>371</v>
      </c>
      <c r="F49" s="33">
        <v>40</v>
      </c>
      <c r="G49" s="33" t="s">
        <v>344</v>
      </c>
      <c r="H49" s="33" t="s">
        <v>348</v>
      </c>
      <c r="I49" s="33" t="s">
        <v>341</v>
      </c>
      <c r="J49" s="33" t="s">
        <v>369</v>
      </c>
      <c r="K49" s="33" t="s">
        <v>348</v>
      </c>
      <c r="L49" s="33" t="s">
        <v>384</v>
      </c>
      <c r="M49" s="33" t="s">
        <v>372</v>
      </c>
      <c r="N49" s="33" t="s">
        <v>25</v>
      </c>
      <c r="O49" s="33"/>
      <c r="P49" s="33"/>
      <c r="Q49" s="33"/>
      <c r="R49" s="33"/>
      <c r="S49" s="33"/>
    </row>
    <row r="50" spans="1:19">
      <c r="A50" s="33" t="str">
        <f t="shared" si="0"/>
        <v>Add_Opt_Out_To_Audit_Preferences_From_Unsubscribe_Pref_Email_Ln042_SDE__Contact_Salesforce_5</v>
      </c>
      <c r="B50" s="34" t="str">
        <f>VLOOKUP($D50,Activities!$D:$G,3,FALSE)</f>
        <v>SQL</v>
      </c>
      <c r="C50" s="44" t="str">
        <f>VLOOKUP($D50,Activities!$D:$G,2,FALSE)</f>
        <v>Add_Opt_Out_To_Audit_Preferences_From_Unsubscribe_Pref_Email</v>
      </c>
      <c r="D50" s="33" t="s">
        <v>388</v>
      </c>
      <c r="E50" s="33" t="s">
        <v>374</v>
      </c>
      <c r="F50" s="33">
        <v>42</v>
      </c>
      <c r="G50" s="33" t="s">
        <v>344</v>
      </c>
      <c r="H50" s="33" t="s">
        <v>348</v>
      </c>
      <c r="I50" s="33" t="s">
        <v>341</v>
      </c>
      <c r="J50" s="33" t="s">
        <v>369</v>
      </c>
      <c r="K50" s="33" t="s">
        <v>348</v>
      </c>
      <c r="L50" s="33" t="s">
        <v>384</v>
      </c>
      <c r="M50" s="33" t="s">
        <v>372</v>
      </c>
      <c r="N50" s="33" t="s">
        <v>25</v>
      </c>
      <c r="O50" s="33"/>
      <c r="P50" s="33"/>
      <c r="Q50" s="33"/>
      <c r="R50" s="33"/>
      <c r="S50" s="33"/>
    </row>
    <row r="51" spans="1:19">
      <c r="A51" s="33" t="str">
        <f t="shared" si="0"/>
        <v>Update_Opt_Out_To_Unsubscriber_From_All_Preferences_Ln000_DE__Unsubscribe_From_All_Preferences</v>
      </c>
      <c r="B51" s="34" t="str">
        <f>VLOOKUP($D51,Activities!$D:$G,3,FALSE)</f>
        <v>SQL</v>
      </c>
      <c r="C51" s="44" t="str">
        <f>VLOOKUP($D51,Activities!$D:$G,2,FALSE)</f>
        <v>Update_Opt_Out_To_Unsubscriber_From_All_Preferences</v>
      </c>
      <c r="D51" s="33" t="s">
        <v>389</v>
      </c>
      <c r="E51" s="33" t="s">
        <v>363</v>
      </c>
      <c r="F51" s="33">
        <v>0</v>
      </c>
      <c r="G51" s="33" t="s">
        <v>339</v>
      </c>
      <c r="H51" s="33" t="s">
        <v>340</v>
      </c>
      <c r="I51" s="33" t="s">
        <v>341</v>
      </c>
      <c r="J51" s="33" t="s">
        <v>356</v>
      </c>
      <c r="K51" s="33" t="s">
        <v>340</v>
      </c>
      <c r="L51" s="33"/>
      <c r="M51" s="33"/>
      <c r="N51" s="33"/>
      <c r="O51" s="33"/>
      <c r="P51" s="33"/>
      <c r="Q51" s="33"/>
      <c r="R51" s="33"/>
      <c r="S51" s="33"/>
    </row>
    <row r="52" spans="1:19">
      <c r="A52" s="33" t="str">
        <f t="shared" si="0"/>
        <v>Update_Opt_Out_To_Unsubscriber_From_All_Preferences_Ln029_DE__Preferences-Update_Unsubscribed_in_AllSubscribers</v>
      </c>
      <c r="B52" s="34" t="str">
        <f>VLOOKUP($D52,Activities!$D:$G,3,FALSE)</f>
        <v>SQL</v>
      </c>
      <c r="C52" s="44" t="str">
        <f>VLOOKUP($D52,Activities!$D:$G,2,FALSE)</f>
        <v>Update_Opt_Out_To_Unsubscriber_From_All_Preferences</v>
      </c>
      <c r="D52" s="33" t="s">
        <v>389</v>
      </c>
      <c r="E52" s="33" t="s">
        <v>378</v>
      </c>
      <c r="F52" s="33">
        <v>29</v>
      </c>
      <c r="G52" s="33" t="s">
        <v>339</v>
      </c>
      <c r="H52" s="33" t="s">
        <v>12</v>
      </c>
      <c r="I52" s="33" t="s">
        <v>341</v>
      </c>
      <c r="J52" s="33" t="s">
        <v>345</v>
      </c>
      <c r="K52" s="33" t="s">
        <v>346</v>
      </c>
      <c r="L52" s="33"/>
      <c r="M52" s="33"/>
      <c r="N52" s="33"/>
      <c r="O52" s="33"/>
      <c r="P52" s="33"/>
      <c r="Q52" s="33"/>
      <c r="R52" s="33"/>
      <c r="S52" s="33"/>
    </row>
    <row r="53" spans="1:19">
      <c r="A53" s="33" t="str">
        <f t="shared" si="0"/>
        <v>Update_Opt_Out_To_Unsubscriber_From_All_Preferences_Ln030_SDE__ContactPointEmail_Salesforce_5</v>
      </c>
      <c r="B53" s="34" t="str">
        <f>VLOOKUP($D53,Activities!$D:$G,3,FALSE)</f>
        <v>SQL</v>
      </c>
      <c r="C53" s="44" t="str">
        <f>VLOOKUP($D53,Activities!$D:$G,2,FALSE)</f>
        <v>Update_Opt_Out_To_Unsubscriber_From_All_Preferences</v>
      </c>
      <c r="D53" s="33" t="s">
        <v>389</v>
      </c>
      <c r="E53" s="33" t="s">
        <v>347</v>
      </c>
      <c r="F53" s="33">
        <v>30</v>
      </c>
      <c r="G53" s="33" t="s">
        <v>344</v>
      </c>
      <c r="H53" s="33" t="s">
        <v>348</v>
      </c>
      <c r="I53" s="33" t="s">
        <v>341</v>
      </c>
      <c r="J53" s="33" t="s">
        <v>349</v>
      </c>
      <c r="K53" s="33" t="s">
        <v>348</v>
      </c>
      <c r="L53" s="33" t="s">
        <v>378</v>
      </c>
      <c r="M53" s="33" t="s">
        <v>354</v>
      </c>
      <c r="N53" s="33" t="s">
        <v>354</v>
      </c>
      <c r="O53" s="33"/>
      <c r="P53" s="33"/>
      <c r="Q53" s="33"/>
      <c r="R53" s="33"/>
      <c r="S53" s="33"/>
    </row>
    <row r="54" spans="1:19">
      <c r="A54" s="33" t="str">
        <f t="shared" si="0"/>
        <v>Update_Opt_Out_To_Unsubscriber_From_All_Preferences_Ln032_DE__MasterSendLog</v>
      </c>
      <c r="B54" s="34" t="str">
        <f>VLOOKUP($D54,Activities!$D:$G,3,FALSE)</f>
        <v>SQL</v>
      </c>
      <c r="C54" s="44" t="str">
        <f>VLOOKUP($D54,Activities!$D:$G,2,FALSE)</f>
        <v>Update_Opt_Out_To_Unsubscriber_From_All_Preferences</v>
      </c>
      <c r="D54" s="33" t="s">
        <v>389</v>
      </c>
      <c r="E54" s="33" t="s">
        <v>386</v>
      </c>
      <c r="F54" s="33">
        <v>32</v>
      </c>
      <c r="G54" s="33" t="s">
        <v>339</v>
      </c>
      <c r="H54" s="33" t="s">
        <v>348</v>
      </c>
      <c r="I54" s="33" t="s">
        <v>341</v>
      </c>
      <c r="J54" s="33" t="s">
        <v>369</v>
      </c>
      <c r="K54" s="33" t="s">
        <v>348</v>
      </c>
      <c r="L54" s="33" t="s">
        <v>378</v>
      </c>
      <c r="M54" s="33" t="s">
        <v>387</v>
      </c>
      <c r="N54" s="33" t="s">
        <v>354</v>
      </c>
      <c r="O54" s="33"/>
      <c r="P54" s="33"/>
      <c r="Q54" s="33"/>
      <c r="R54" s="33"/>
      <c r="S54" s="33"/>
    </row>
    <row r="55" spans="1:19">
      <c r="A55" s="33" t="str">
        <f t="shared" si="0"/>
        <v>Update_Opt_Out_To_Unsubscriber_From_All_Preferences_Ln034_SDE__Contact_Salesforce_5</v>
      </c>
      <c r="B55" s="34" t="str">
        <f>VLOOKUP($D55,Activities!$D:$G,3,FALSE)</f>
        <v>SQL</v>
      </c>
      <c r="C55" s="44" t="str">
        <f>VLOOKUP($D55,Activities!$D:$G,2,FALSE)</f>
        <v>Update_Opt_Out_To_Unsubscriber_From_All_Preferences</v>
      </c>
      <c r="D55" s="33" t="s">
        <v>389</v>
      </c>
      <c r="E55" s="33" t="s">
        <v>374</v>
      </c>
      <c r="F55" s="33">
        <v>34</v>
      </c>
      <c r="G55" s="33" t="s">
        <v>344</v>
      </c>
      <c r="H55" s="33" t="s">
        <v>348</v>
      </c>
      <c r="I55" s="33" t="s">
        <v>341</v>
      </c>
      <c r="J55" s="33" t="s">
        <v>369</v>
      </c>
      <c r="K55" s="33" t="s">
        <v>348</v>
      </c>
      <c r="L55" s="33" t="s">
        <v>347</v>
      </c>
      <c r="M55" s="33" t="s">
        <v>372</v>
      </c>
      <c r="N55" s="33" t="s">
        <v>351</v>
      </c>
      <c r="O55" s="33"/>
      <c r="P55" s="33"/>
      <c r="Q55" s="33"/>
      <c r="R55" s="33"/>
      <c r="S55" s="33"/>
    </row>
    <row r="56" spans="1:19">
      <c r="A56" s="33" t="str">
        <f t="shared" si="0"/>
        <v>Update_Opt_Out_To_Unsubscriber_From_All_Preferences_Ln035_SDE__Lead_Salesforce_5</v>
      </c>
      <c r="B56" s="34" t="str">
        <f>VLOOKUP($D56,Activities!$D:$G,3,FALSE)</f>
        <v>SQL</v>
      </c>
      <c r="C56" s="44" t="str">
        <f>VLOOKUP($D56,Activities!$D:$G,2,FALSE)</f>
        <v>Update_Opt_Out_To_Unsubscriber_From_All_Preferences</v>
      </c>
      <c r="D56" s="33" t="s">
        <v>389</v>
      </c>
      <c r="E56" s="33" t="s">
        <v>371</v>
      </c>
      <c r="F56" s="33">
        <v>35</v>
      </c>
      <c r="G56" s="33" t="s">
        <v>344</v>
      </c>
      <c r="H56" s="33" t="s">
        <v>348</v>
      </c>
      <c r="I56" s="33" t="s">
        <v>341</v>
      </c>
      <c r="J56" s="33" t="s">
        <v>369</v>
      </c>
      <c r="K56" s="33" t="s">
        <v>348</v>
      </c>
      <c r="L56" s="33" t="s">
        <v>347</v>
      </c>
      <c r="M56" s="33" t="s">
        <v>372</v>
      </c>
      <c r="N56" s="33" t="s">
        <v>351</v>
      </c>
      <c r="O56" s="33"/>
      <c r="P56" s="33"/>
      <c r="Q56" s="33"/>
      <c r="R56" s="33"/>
      <c r="S56" s="33"/>
    </row>
    <row r="57" spans="1:19">
      <c r="A57" s="33" t="str">
        <f t="shared" si="0"/>
        <v>Add_Opt_Out_To_Audit_Preferences_From_Unsubscribe_From_All_DE_Ln000_DE__Audit_Preferences</v>
      </c>
      <c r="B57" s="34" t="str">
        <f>VLOOKUP($D57,Activities!$D:$G,3,FALSE)</f>
        <v>SQL</v>
      </c>
      <c r="C57" s="44" t="str">
        <f>VLOOKUP($D57,Activities!$D:$G,2,FALSE)</f>
        <v>Add_Opt_Out_To_Audit_Preferences_From_Unsubscribe_From_All_DE</v>
      </c>
      <c r="D57" s="33" t="s">
        <v>390</v>
      </c>
      <c r="E57" s="33" t="s">
        <v>367</v>
      </c>
      <c r="F57" s="33">
        <v>0</v>
      </c>
      <c r="G57" s="33" t="s">
        <v>339</v>
      </c>
      <c r="H57" s="33" t="s">
        <v>340</v>
      </c>
      <c r="I57" s="33" t="s">
        <v>341</v>
      </c>
      <c r="J57" s="33" t="s">
        <v>356</v>
      </c>
      <c r="K57" s="33" t="s">
        <v>340</v>
      </c>
      <c r="L57" s="33"/>
      <c r="M57" s="33"/>
      <c r="N57" s="33"/>
      <c r="O57" s="33"/>
      <c r="P57" s="33"/>
      <c r="Q57" s="33"/>
      <c r="R57" s="33"/>
      <c r="S57" s="33"/>
    </row>
    <row r="58" spans="1:19">
      <c r="A58" s="33" t="str">
        <f t="shared" si="0"/>
        <v>Add_Opt_Out_To_Audit_Preferences_From_Unsubscribe_From_All_DE_Ln034_DE__Preferences-Update_Unsubscribed_in_AllSubscribers</v>
      </c>
      <c r="B58" s="34" t="str">
        <f>VLOOKUP($D58,Activities!$D:$G,3,FALSE)</f>
        <v>SQL</v>
      </c>
      <c r="C58" s="44" t="str">
        <f>VLOOKUP($D58,Activities!$D:$G,2,FALSE)</f>
        <v>Add_Opt_Out_To_Audit_Preferences_From_Unsubscribe_From_All_DE</v>
      </c>
      <c r="D58" s="33" t="s">
        <v>390</v>
      </c>
      <c r="E58" s="33" t="s">
        <v>378</v>
      </c>
      <c r="F58" s="33">
        <v>34</v>
      </c>
      <c r="G58" s="33" t="s">
        <v>339</v>
      </c>
      <c r="H58" s="33" t="s">
        <v>12</v>
      </c>
      <c r="I58" s="33" t="s">
        <v>341</v>
      </c>
      <c r="J58" s="33" t="s">
        <v>345</v>
      </c>
      <c r="K58" s="33" t="s">
        <v>346</v>
      </c>
      <c r="L58" s="33"/>
      <c r="M58" s="33"/>
      <c r="N58" s="33"/>
      <c r="O58" s="33"/>
      <c r="P58" s="33"/>
      <c r="Q58" s="33"/>
      <c r="R58" s="33"/>
      <c r="S58" s="33"/>
    </row>
    <row r="59" spans="1:19">
      <c r="A59" s="33" t="str">
        <f t="shared" si="0"/>
        <v>Add_Opt_Out_To_Audit_Preferences_From_Unsubscribe_From_All_DE_Ln035_SDE__ContactPointEmail_Salesforce_5</v>
      </c>
      <c r="B59" s="34" t="str">
        <f>VLOOKUP($D59,Activities!$D:$G,3,FALSE)</f>
        <v>SQL</v>
      </c>
      <c r="C59" s="44" t="str">
        <f>VLOOKUP($D59,Activities!$D:$G,2,FALSE)</f>
        <v>Add_Opt_Out_To_Audit_Preferences_From_Unsubscribe_From_All_DE</v>
      </c>
      <c r="D59" s="33" t="s">
        <v>390</v>
      </c>
      <c r="E59" s="33" t="s">
        <v>347</v>
      </c>
      <c r="F59" s="33">
        <v>35</v>
      </c>
      <c r="G59" s="33" t="s">
        <v>344</v>
      </c>
      <c r="H59" s="33" t="s">
        <v>348</v>
      </c>
      <c r="I59" s="33" t="s">
        <v>341</v>
      </c>
      <c r="J59" s="33" t="s">
        <v>349</v>
      </c>
      <c r="K59" s="33" t="s">
        <v>348</v>
      </c>
      <c r="L59" s="33" t="s">
        <v>378</v>
      </c>
      <c r="M59" s="33" t="s">
        <v>354</v>
      </c>
      <c r="N59" s="33" t="s">
        <v>354</v>
      </c>
      <c r="O59" s="33"/>
      <c r="P59" s="33"/>
      <c r="Q59" s="33"/>
      <c r="R59" s="33"/>
      <c r="S59" s="33"/>
    </row>
    <row r="60" spans="1:19">
      <c r="A60" s="33" t="str">
        <f t="shared" si="0"/>
        <v>Add_Opt_Out_To_Audit_Preferences_From_Unsubscribe_From_All_DE_Ln037_DE__MasterSendLog</v>
      </c>
      <c r="B60" s="34" t="str">
        <f>VLOOKUP($D60,Activities!$D:$G,3,FALSE)</f>
        <v>SQL</v>
      </c>
      <c r="C60" s="44" t="str">
        <f>VLOOKUP($D60,Activities!$D:$G,2,FALSE)</f>
        <v>Add_Opt_Out_To_Audit_Preferences_From_Unsubscribe_From_All_DE</v>
      </c>
      <c r="D60" s="33" t="s">
        <v>390</v>
      </c>
      <c r="E60" s="33" t="s">
        <v>386</v>
      </c>
      <c r="F60" s="33">
        <v>37</v>
      </c>
      <c r="G60" s="33" t="s">
        <v>339</v>
      </c>
      <c r="H60" s="33" t="s">
        <v>348</v>
      </c>
      <c r="I60" s="33" t="s">
        <v>341</v>
      </c>
      <c r="J60" s="33" t="s">
        <v>369</v>
      </c>
      <c r="K60" s="33" t="s">
        <v>348</v>
      </c>
      <c r="L60" s="33" t="s">
        <v>378</v>
      </c>
      <c r="M60" s="33" t="s">
        <v>387</v>
      </c>
      <c r="N60" s="33" t="s">
        <v>354</v>
      </c>
      <c r="O60" s="33"/>
      <c r="P60" s="33"/>
      <c r="Q60" s="33"/>
      <c r="R60" s="33"/>
      <c r="S60" s="33"/>
    </row>
    <row r="61" spans="1:19">
      <c r="A61" s="33" t="str">
        <f t="shared" si="0"/>
        <v>Add_Opt_Out_To_Audit_Preferences_From_Unsubscribe_From_All_DE_Ln039_SDE__Contact_Salesforce_5</v>
      </c>
      <c r="B61" s="34" t="str">
        <f>VLOOKUP($D61,Activities!$D:$G,3,FALSE)</f>
        <v>SQL</v>
      </c>
      <c r="C61" s="44" t="str">
        <f>VLOOKUP($D61,Activities!$D:$G,2,FALSE)</f>
        <v>Add_Opt_Out_To_Audit_Preferences_From_Unsubscribe_From_All_DE</v>
      </c>
      <c r="D61" s="33" t="s">
        <v>390</v>
      </c>
      <c r="E61" s="33" t="s">
        <v>374</v>
      </c>
      <c r="F61" s="33">
        <v>39</v>
      </c>
      <c r="G61" s="33" t="s">
        <v>344</v>
      </c>
      <c r="H61" s="33" t="s">
        <v>348</v>
      </c>
      <c r="I61" s="33" t="s">
        <v>341</v>
      </c>
      <c r="J61" s="33" t="s">
        <v>369</v>
      </c>
      <c r="K61" s="33" t="s">
        <v>348</v>
      </c>
      <c r="L61" s="33" t="s">
        <v>347</v>
      </c>
      <c r="M61" s="33" t="s">
        <v>372</v>
      </c>
      <c r="N61" s="33" t="s">
        <v>351</v>
      </c>
      <c r="O61" s="33"/>
      <c r="P61" s="33"/>
      <c r="Q61" s="33"/>
      <c r="R61" s="33"/>
      <c r="S61" s="33"/>
    </row>
    <row r="62" spans="1:19">
      <c r="A62" s="33" t="str">
        <f t="shared" si="0"/>
        <v>Add_Opt_Out_To_Audit_Preferences_From_Unsubscribe_From_All_DE_Ln041_SDE__Lead_Salesforce_5</v>
      </c>
      <c r="B62" s="34" t="str">
        <f>VLOOKUP($D62,Activities!$D:$G,3,FALSE)</f>
        <v>SQL</v>
      </c>
      <c r="C62" s="44" t="str">
        <f>VLOOKUP($D62,Activities!$D:$G,2,FALSE)</f>
        <v>Add_Opt_Out_To_Audit_Preferences_From_Unsubscribe_From_All_DE</v>
      </c>
      <c r="D62" s="33" t="s">
        <v>390</v>
      </c>
      <c r="E62" s="33" t="s">
        <v>371</v>
      </c>
      <c r="F62" s="33">
        <v>41</v>
      </c>
      <c r="G62" s="33" t="s">
        <v>344</v>
      </c>
      <c r="H62" s="33" t="s">
        <v>348</v>
      </c>
      <c r="I62" s="33" t="s">
        <v>341</v>
      </c>
      <c r="J62" s="33" t="s">
        <v>369</v>
      </c>
      <c r="K62" s="33" t="s">
        <v>348</v>
      </c>
      <c r="L62" s="33" t="s">
        <v>347</v>
      </c>
      <c r="M62" s="33" t="s">
        <v>372</v>
      </c>
      <c r="N62" s="33" t="s">
        <v>351</v>
      </c>
      <c r="O62" s="33"/>
      <c r="P62" s="33"/>
      <c r="Q62" s="33"/>
      <c r="R62" s="33"/>
      <c r="S62" s="33"/>
    </row>
    <row r="63" spans="1:19">
      <c r="A63" s="33" t="str">
        <f t="shared" si="0"/>
        <v>Add_Sales_Cloud_Unsubscribe_To_RecordKeeper_Unsub_Pref_Email_DE_Ln000_DE__ConsentUpdates_Recordkeeper</v>
      </c>
      <c r="B63" s="34" t="str">
        <f>VLOOKUP($D63,Activities!$D:$G,3,FALSE)</f>
        <v>SQL</v>
      </c>
      <c r="C63" s="44" t="str">
        <f>VLOOKUP($D63,Activities!$D:$G,2,FALSE)</f>
        <v>Add_Sales_Cloud_Unsubscribe_To_RecordKeeper_Unsub_Pref_Email_DE</v>
      </c>
      <c r="D63" s="33" t="s">
        <v>391</v>
      </c>
      <c r="E63" s="33" t="s">
        <v>376</v>
      </c>
      <c r="F63" s="33">
        <v>0</v>
      </c>
      <c r="G63" s="33" t="s">
        <v>339</v>
      </c>
      <c r="H63" s="33" t="s">
        <v>340</v>
      </c>
      <c r="I63" s="33" t="s">
        <v>341</v>
      </c>
      <c r="J63" s="33" t="s">
        <v>368</v>
      </c>
      <c r="K63" s="33" t="s">
        <v>340</v>
      </c>
      <c r="L63" s="33"/>
      <c r="M63" s="33"/>
      <c r="N63" s="33"/>
      <c r="O63" s="33"/>
      <c r="P63" s="33"/>
      <c r="Q63" s="33"/>
      <c r="R63" s="33"/>
      <c r="S63" s="33"/>
    </row>
    <row r="64" spans="1:19">
      <c r="A64" s="33" t="str">
        <f t="shared" si="0"/>
        <v>Add_Sales_Cloud_Unsubscribe_To_RecordKeeper_Unsub_Pref_Email_DE_Ln036_DE__Subscriber_Preferences_Email</v>
      </c>
      <c r="B64" s="34" t="str">
        <f>VLOOKUP($D64,Activities!$D:$G,3,FALSE)</f>
        <v>SQL</v>
      </c>
      <c r="C64" s="44" t="str">
        <f>VLOOKUP($D64,Activities!$D:$G,2,FALSE)</f>
        <v>Add_Sales_Cloud_Unsubscribe_To_RecordKeeper_Unsub_Pref_Email_DE</v>
      </c>
      <c r="D64" s="33" t="s">
        <v>391</v>
      </c>
      <c r="E64" s="33" t="s">
        <v>384</v>
      </c>
      <c r="F64" s="33">
        <v>36</v>
      </c>
      <c r="G64" s="33" t="s">
        <v>339</v>
      </c>
      <c r="H64" s="33" t="s">
        <v>12</v>
      </c>
      <c r="I64" s="33" t="s">
        <v>341</v>
      </c>
      <c r="J64" s="33" t="s">
        <v>345</v>
      </c>
      <c r="K64" s="33" t="s">
        <v>346</v>
      </c>
      <c r="L64" s="33"/>
      <c r="M64" s="33"/>
      <c r="N64" s="33"/>
      <c r="O64" s="33"/>
      <c r="P64" s="33"/>
      <c r="Q64" s="33"/>
      <c r="R64" s="33"/>
      <c r="S64" s="33"/>
    </row>
    <row r="65" spans="1:19">
      <c r="A65" s="33" t="str">
        <f t="shared" si="0"/>
        <v>Add_Sales_Cloud_Unsubscribe_To_RecordKeeper_Unsub_Pref_Email_DE_Ln038_DE__Preferences-Update_Unsubscribed_in_AllSubscribers</v>
      </c>
      <c r="B65" s="34" t="str">
        <f>VLOOKUP($D65,Activities!$D:$G,3,FALSE)</f>
        <v>SQL</v>
      </c>
      <c r="C65" s="44" t="str">
        <f>VLOOKUP($D65,Activities!$D:$G,2,FALSE)</f>
        <v>Add_Sales_Cloud_Unsubscribe_To_RecordKeeper_Unsub_Pref_Email_DE</v>
      </c>
      <c r="D65" s="33" t="s">
        <v>391</v>
      </c>
      <c r="E65" s="33" t="s">
        <v>378</v>
      </c>
      <c r="F65" s="33">
        <v>38</v>
      </c>
      <c r="G65" s="33" t="s">
        <v>339</v>
      </c>
      <c r="H65" s="33" t="s">
        <v>348</v>
      </c>
      <c r="I65" s="33" t="s">
        <v>341</v>
      </c>
      <c r="J65" s="33" t="s">
        <v>349</v>
      </c>
      <c r="K65" s="33" t="s">
        <v>348</v>
      </c>
      <c r="L65" s="33" t="s">
        <v>384</v>
      </c>
      <c r="M65" s="33" t="s">
        <v>354</v>
      </c>
      <c r="N65" s="33" t="s">
        <v>354</v>
      </c>
      <c r="O65" s="33"/>
      <c r="P65" s="33"/>
      <c r="Q65" s="33"/>
      <c r="R65" s="33"/>
      <c r="S65" s="33"/>
    </row>
    <row r="66" spans="1:19">
      <c r="A66" s="33" t="str">
        <f t="shared" si="0"/>
        <v>Add_Sales_Cloud_Unsubscribe_To_RecordKeeper_Unsub_Pref_Email_DE_Ln039_DE__MasterSendLog</v>
      </c>
      <c r="B66" s="34" t="str">
        <f>VLOOKUP($D66,Activities!$D:$G,3,FALSE)</f>
        <v>SQL</v>
      </c>
      <c r="C66" s="44" t="str">
        <f>VLOOKUP($D66,Activities!$D:$G,2,FALSE)</f>
        <v>Add_Sales_Cloud_Unsubscribe_To_RecordKeeper_Unsub_Pref_Email_DE</v>
      </c>
      <c r="D66" s="33" t="s">
        <v>391</v>
      </c>
      <c r="E66" s="33" t="s">
        <v>386</v>
      </c>
      <c r="F66" s="33">
        <v>39</v>
      </c>
      <c r="G66" s="33" t="s">
        <v>339</v>
      </c>
      <c r="H66" s="33" t="s">
        <v>348</v>
      </c>
      <c r="I66" s="33" t="s">
        <v>341</v>
      </c>
      <c r="J66" s="33" t="s">
        <v>369</v>
      </c>
      <c r="K66" s="33" t="s">
        <v>348</v>
      </c>
      <c r="L66" s="33" t="s">
        <v>378</v>
      </c>
      <c r="M66" s="33" t="s">
        <v>387</v>
      </c>
      <c r="N66" s="33" t="s">
        <v>354</v>
      </c>
      <c r="O66" s="33"/>
      <c r="P66" s="33"/>
      <c r="Q66" s="33"/>
      <c r="R66" s="33"/>
      <c r="S66" s="33"/>
    </row>
    <row r="67" spans="1:19">
      <c r="A67" s="33" t="str">
        <f t="shared" ref="A67:A125" si="1">CONCATENATE($C67,"_Ln",TEXT($F67,"000"),"_",$G67,"__",$E67)</f>
        <v>Add_Sales_Cloud_Unsubscribe_To_RecordKeeper_Unsub_Pref_Email_DE_Ln042_SDE__Lead_Salesforce_5</v>
      </c>
      <c r="B67" s="34" t="str">
        <f>VLOOKUP($D67,Activities!$D:$G,3,FALSE)</f>
        <v>SQL</v>
      </c>
      <c r="C67" s="44" t="str">
        <f>VLOOKUP($D67,Activities!$D:$G,2,FALSE)</f>
        <v>Add_Sales_Cloud_Unsubscribe_To_RecordKeeper_Unsub_Pref_Email_DE</v>
      </c>
      <c r="D67" s="33" t="s">
        <v>391</v>
      </c>
      <c r="E67" s="33" t="s">
        <v>371</v>
      </c>
      <c r="F67" s="33">
        <v>42</v>
      </c>
      <c r="G67" s="33" t="s">
        <v>344</v>
      </c>
      <c r="H67" s="33" t="s">
        <v>348</v>
      </c>
      <c r="I67" s="33" t="s">
        <v>341</v>
      </c>
      <c r="J67" s="33" t="s">
        <v>369</v>
      </c>
      <c r="K67" s="33" t="s">
        <v>348</v>
      </c>
      <c r="L67" s="33" t="s">
        <v>384</v>
      </c>
      <c r="M67" s="33" t="s">
        <v>372</v>
      </c>
      <c r="N67" s="33" t="s">
        <v>25</v>
      </c>
      <c r="O67" s="33"/>
      <c r="P67" s="33"/>
      <c r="Q67" s="33"/>
      <c r="R67" s="33"/>
      <c r="S67" s="33"/>
    </row>
    <row r="68" spans="1:19">
      <c r="A68" s="33" t="str">
        <f t="shared" si="1"/>
        <v>Add_Sales_Cloud_Unsubscribe_To_RecordKeeper_Unsub_Pref_Email_DE_Ln044_SDE__Contact_Salesforce_5</v>
      </c>
      <c r="B68" s="34" t="str">
        <f>VLOOKUP($D68,Activities!$D:$G,3,FALSE)</f>
        <v>SQL</v>
      </c>
      <c r="C68" s="44" t="str">
        <f>VLOOKUP($D68,Activities!$D:$G,2,FALSE)</f>
        <v>Add_Sales_Cloud_Unsubscribe_To_RecordKeeper_Unsub_Pref_Email_DE</v>
      </c>
      <c r="D68" s="33" t="s">
        <v>391</v>
      </c>
      <c r="E68" s="33" t="s">
        <v>374</v>
      </c>
      <c r="F68" s="33">
        <v>44</v>
      </c>
      <c r="G68" s="33" t="s">
        <v>344</v>
      </c>
      <c r="H68" s="33" t="s">
        <v>348</v>
      </c>
      <c r="I68" s="33" t="s">
        <v>341</v>
      </c>
      <c r="J68" s="33" t="s">
        <v>369</v>
      </c>
      <c r="K68" s="33" t="s">
        <v>348</v>
      </c>
      <c r="L68" s="33" t="s">
        <v>384</v>
      </c>
      <c r="M68" s="33" t="s">
        <v>372</v>
      </c>
      <c r="N68" s="33" t="s">
        <v>25</v>
      </c>
      <c r="O68" s="33"/>
      <c r="P68" s="33"/>
      <c r="Q68" s="33"/>
      <c r="R68" s="33"/>
      <c r="S68" s="33"/>
    </row>
    <row r="69" spans="1:19">
      <c r="A69" s="33" t="str">
        <f t="shared" si="1"/>
        <v>Add_Sales_Cloud_Unsubscribe_To_RecordKeeper_Unsub_From_All_DE_Ln000_DE__ConsentUpdates_Recordkeeper</v>
      </c>
      <c r="B69" s="34" t="str">
        <f>VLOOKUP($D69,Activities!$D:$G,3,FALSE)</f>
        <v>SQL</v>
      </c>
      <c r="C69" s="44" t="str">
        <f>VLOOKUP($D69,Activities!$D:$G,2,FALSE)</f>
        <v>Add_Sales_Cloud_Unsubscribe_To_RecordKeeper_Unsub_From_All_DE</v>
      </c>
      <c r="D69" s="33" t="s">
        <v>392</v>
      </c>
      <c r="E69" s="33" t="s">
        <v>376</v>
      </c>
      <c r="F69" s="33">
        <v>0</v>
      </c>
      <c r="G69" s="33" t="s">
        <v>339</v>
      </c>
      <c r="H69" s="33" t="s">
        <v>340</v>
      </c>
      <c r="I69" s="33" t="s">
        <v>341</v>
      </c>
      <c r="J69" s="33" t="s">
        <v>368</v>
      </c>
      <c r="K69" s="33" t="s">
        <v>340</v>
      </c>
      <c r="L69" s="33"/>
      <c r="M69" s="33"/>
      <c r="N69" s="33"/>
      <c r="O69" s="33"/>
      <c r="P69" s="33"/>
      <c r="Q69" s="33"/>
      <c r="R69" s="33"/>
      <c r="S69" s="33"/>
    </row>
    <row r="70" spans="1:19">
      <c r="A70" s="33" t="str">
        <f t="shared" si="1"/>
        <v>Add_Sales_Cloud_Unsubscribe_To_RecordKeeper_Unsub_From_All_DE_Ln008_DE__Preferences-Update_Unsubscribed_in_AllSubscribers</v>
      </c>
      <c r="B70" s="34" t="str">
        <f>VLOOKUP($D70,Activities!$D:$G,3,FALSE)</f>
        <v>SQL</v>
      </c>
      <c r="C70" s="44" t="str">
        <f>VLOOKUP($D70,Activities!$D:$G,2,FALSE)</f>
        <v>Add_Sales_Cloud_Unsubscribe_To_RecordKeeper_Unsub_From_All_DE</v>
      </c>
      <c r="D70" s="33" t="s">
        <v>392</v>
      </c>
      <c r="E70" s="33" t="s">
        <v>378</v>
      </c>
      <c r="F70" s="33">
        <v>8</v>
      </c>
      <c r="G70" s="33" t="s">
        <v>339</v>
      </c>
      <c r="H70" s="33" t="s">
        <v>12</v>
      </c>
      <c r="I70" s="33" t="s">
        <v>341</v>
      </c>
      <c r="J70" s="33" t="s">
        <v>345</v>
      </c>
      <c r="K70" s="33" t="s">
        <v>346</v>
      </c>
      <c r="L70" s="33"/>
      <c r="M70" s="33"/>
      <c r="N70" s="33"/>
      <c r="O70" s="33"/>
      <c r="P70" s="33"/>
      <c r="Q70" s="33"/>
      <c r="R70" s="33"/>
      <c r="S70" s="33"/>
    </row>
    <row r="71" spans="1:19">
      <c r="A71" s="33" t="str">
        <f t="shared" si="1"/>
        <v>Add_Sales_Cloud_Unsubscribe_To_RecordKeeper_Unsub_From_All_DE_Ln039_SDE__ContactPointEmail_Salesforce_5</v>
      </c>
      <c r="B71" s="34" t="str">
        <f>VLOOKUP($D71,Activities!$D:$G,3,FALSE)</f>
        <v>SQL</v>
      </c>
      <c r="C71" s="44" t="str">
        <f>VLOOKUP($D71,Activities!$D:$G,2,FALSE)</f>
        <v>Add_Sales_Cloud_Unsubscribe_To_RecordKeeper_Unsub_From_All_DE</v>
      </c>
      <c r="D71" s="33" t="s">
        <v>392</v>
      </c>
      <c r="E71" s="33" t="s">
        <v>347</v>
      </c>
      <c r="F71" s="33">
        <v>39</v>
      </c>
      <c r="G71" s="33" t="s">
        <v>344</v>
      </c>
      <c r="H71" s="33" t="s">
        <v>348</v>
      </c>
      <c r="I71" s="33" t="s">
        <v>341</v>
      </c>
      <c r="J71" s="33" t="s">
        <v>349</v>
      </c>
      <c r="K71" s="33" t="s">
        <v>348</v>
      </c>
      <c r="L71" s="33" t="s">
        <v>378</v>
      </c>
      <c r="M71" s="33" t="s">
        <v>354</v>
      </c>
      <c r="N71" s="33" t="s">
        <v>354</v>
      </c>
      <c r="O71" s="33"/>
      <c r="P71" s="33"/>
      <c r="Q71" s="33"/>
      <c r="R71" s="33"/>
      <c r="S71" s="33"/>
    </row>
    <row r="72" spans="1:19">
      <c r="A72" s="33" t="str">
        <f t="shared" si="1"/>
        <v>Add_Sales_Cloud_Unsubscribe_To_RecordKeeper_Unsub_From_All_DE_Ln041_DE__MasterSendLog</v>
      </c>
      <c r="B72" s="34" t="str">
        <f>VLOOKUP($D72,Activities!$D:$G,3,FALSE)</f>
        <v>SQL</v>
      </c>
      <c r="C72" s="44" t="str">
        <f>VLOOKUP($D72,Activities!$D:$G,2,FALSE)</f>
        <v>Add_Sales_Cloud_Unsubscribe_To_RecordKeeper_Unsub_From_All_DE</v>
      </c>
      <c r="D72" s="33" t="s">
        <v>392</v>
      </c>
      <c r="E72" s="33" t="s">
        <v>386</v>
      </c>
      <c r="F72" s="33">
        <v>41</v>
      </c>
      <c r="G72" s="33" t="s">
        <v>339</v>
      </c>
      <c r="H72" s="33" t="s">
        <v>348</v>
      </c>
      <c r="I72" s="33" t="s">
        <v>341</v>
      </c>
      <c r="J72" s="33" t="s">
        <v>369</v>
      </c>
      <c r="K72" s="33" t="s">
        <v>348</v>
      </c>
      <c r="L72" s="33" t="s">
        <v>378</v>
      </c>
      <c r="M72" s="33" t="s">
        <v>387</v>
      </c>
      <c r="N72" s="33" t="s">
        <v>354</v>
      </c>
      <c r="O72" s="33"/>
      <c r="P72" s="33"/>
      <c r="Q72" s="33"/>
      <c r="R72" s="33"/>
      <c r="S72" s="33"/>
    </row>
    <row r="73" spans="1:19">
      <c r="A73" s="33" t="str">
        <f t="shared" si="1"/>
        <v>Add_Sales_Cloud_Unsubscribe_To_RecordKeeper_Unsub_From_All_DE_Ln043_SDE__Contact_Salesforce_5</v>
      </c>
      <c r="B73" s="34" t="str">
        <f>VLOOKUP($D73,Activities!$D:$G,3,FALSE)</f>
        <v>SQL</v>
      </c>
      <c r="C73" s="44" t="str">
        <f>VLOOKUP($D73,Activities!$D:$G,2,FALSE)</f>
        <v>Add_Sales_Cloud_Unsubscribe_To_RecordKeeper_Unsub_From_All_DE</v>
      </c>
      <c r="D73" s="33" t="s">
        <v>392</v>
      </c>
      <c r="E73" s="33" t="s">
        <v>374</v>
      </c>
      <c r="F73" s="33">
        <v>43</v>
      </c>
      <c r="G73" s="33" t="s">
        <v>344</v>
      </c>
      <c r="H73" s="33" t="s">
        <v>348</v>
      </c>
      <c r="I73" s="33" t="s">
        <v>341</v>
      </c>
      <c r="J73" s="33" t="s">
        <v>369</v>
      </c>
      <c r="K73" s="33" t="s">
        <v>348</v>
      </c>
      <c r="L73" s="33" t="s">
        <v>347</v>
      </c>
      <c r="M73" s="33" t="s">
        <v>372</v>
      </c>
      <c r="N73" s="33" t="s">
        <v>351</v>
      </c>
      <c r="O73" s="33"/>
      <c r="P73" s="33"/>
      <c r="Q73" s="33"/>
      <c r="R73" s="33"/>
      <c r="S73" s="33"/>
    </row>
    <row r="74" spans="1:19">
      <c r="A74" s="33" t="str">
        <f t="shared" si="1"/>
        <v>Add_Sales_Cloud_Unsubscribe_To_RecordKeeper_Unsub_From_All_DE_Ln045_SDE__Lead_Salesforce_5</v>
      </c>
      <c r="B74" s="34" t="str">
        <f>VLOOKUP($D74,Activities!$D:$G,3,FALSE)</f>
        <v>SQL</v>
      </c>
      <c r="C74" s="44" t="str">
        <f>VLOOKUP($D74,Activities!$D:$G,2,FALSE)</f>
        <v>Add_Sales_Cloud_Unsubscribe_To_RecordKeeper_Unsub_From_All_DE</v>
      </c>
      <c r="D74" s="33" t="s">
        <v>392</v>
      </c>
      <c r="E74" s="33" t="s">
        <v>371</v>
      </c>
      <c r="F74" s="33">
        <v>45</v>
      </c>
      <c r="G74" s="33" t="s">
        <v>344</v>
      </c>
      <c r="H74" s="33" t="s">
        <v>348</v>
      </c>
      <c r="I74" s="33" t="s">
        <v>341</v>
      </c>
      <c r="J74" s="33" t="s">
        <v>369</v>
      </c>
      <c r="K74" s="33" t="s">
        <v>348</v>
      </c>
      <c r="L74" s="33" t="s">
        <v>347</v>
      </c>
      <c r="M74" s="33" t="s">
        <v>372</v>
      </c>
      <c r="N74" s="33" t="s">
        <v>351</v>
      </c>
      <c r="O74" s="33"/>
      <c r="P74" s="33"/>
      <c r="Q74" s="33"/>
      <c r="R74" s="33"/>
      <c r="S74" s="33"/>
    </row>
    <row r="75" spans="1:19">
      <c r="A75" s="33" t="str">
        <f t="shared" si="1"/>
        <v>SQL_Preferences-Remove_duplicates_With_Associated_Email_Ln000_DE__Preferences-Update_Unsubscribed_in_AllSubscribers_With_Associated_Email</v>
      </c>
      <c r="B75" s="34" t="str">
        <f>VLOOKUP($D75,Activities!$D:$G,3,FALSE)</f>
        <v>SQL</v>
      </c>
      <c r="C75" s="44" t="str">
        <f>VLOOKUP($D75,Activities!$D:$G,2,FALSE)</f>
        <v>SQL_Preferences-Remove_duplicates_With_Associated_Email</v>
      </c>
      <c r="D75" s="33" t="s">
        <v>393</v>
      </c>
      <c r="E75" s="33" t="s">
        <v>394</v>
      </c>
      <c r="F75" s="33">
        <v>0</v>
      </c>
      <c r="G75" s="33" t="s">
        <v>339</v>
      </c>
      <c r="H75" s="33" t="s">
        <v>340</v>
      </c>
      <c r="I75" s="33" t="s">
        <v>341</v>
      </c>
      <c r="J75" s="33" t="s">
        <v>342</v>
      </c>
      <c r="K75" s="33" t="s">
        <v>340</v>
      </c>
      <c r="L75" s="33"/>
      <c r="M75" s="33"/>
      <c r="N75" s="33"/>
      <c r="O75" s="33"/>
      <c r="P75" s="33"/>
      <c r="Q75" s="33"/>
      <c r="R75" s="33"/>
      <c r="S75" s="33"/>
    </row>
    <row r="76" spans="1:19">
      <c r="A76" s="33" t="str">
        <f t="shared" si="1"/>
        <v>SQL_Preferences-Remove_duplicates_With_Associated_Email_Ln012_DE__Preferences-Update_Unsubscribed_in_AllSubscribers</v>
      </c>
      <c r="B76" s="34" t="str">
        <f>VLOOKUP($D76,Activities!$D:$G,3,FALSE)</f>
        <v>SQL</v>
      </c>
      <c r="C76" s="44" t="str">
        <f>VLOOKUP($D76,Activities!$D:$G,2,FALSE)</f>
        <v>SQL_Preferences-Remove_duplicates_With_Associated_Email</v>
      </c>
      <c r="D76" s="33" t="s">
        <v>393</v>
      </c>
      <c r="E76" s="33" t="s">
        <v>378</v>
      </c>
      <c r="F76" s="33">
        <v>12</v>
      </c>
      <c r="G76" s="33" t="s">
        <v>339</v>
      </c>
      <c r="H76" s="33" t="s">
        <v>12</v>
      </c>
      <c r="I76" s="33" t="s">
        <v>341</v>
      </c>
      <c r="J76" s="33" t="s">
        <v>345</v>
      </c>
      <c r="K76" s="33" t="s">
        <v>346</v>
      </c>
      <c r="L76" s="33"/>
      <c r="M76" s="33"/>
      <c r="N76" s="33"/>
      <c r="O76" s="33"/>
      <c r="P76" s="33"/>
      <c r="Q76" s="33"/>
      <c r="R76" s="33"/>
      <c r="S76" s="33"/>
    </row>
    <row r="77" spans="1:19">
      <c r="A77" s="33" t="str">
        <f t="shared" si="1"/>
        <v xml:space="preserve">
Consent-ExpiredUnsubscribeAllLinkClicks_Ln000_DE__
ConsentUpdates-ExpiredUnsubscribeLinkClicks</v>
      </c>
      <c r="B77" s="34" t="str">
        <f>VLOOKUP($D77,Activities!$D:$G,3,FALSE)</f>
        <v>SQL</v>
      </c>
      <c r="C77" s="44" t="str">
        <f>VLOOKUP($D77,Activities!$D:$G,2,FALSE)</f>
        <v xml:space="preserve">
Consent-ExpiredUnsubscribeAllLinkClicks</v>
      </c>
      <c r="D77" s="33" t="s">
        <v>395</v>
      </c>
      <c r="E77" s="33" t="s">
        <v>396</v>
      </c>
      <c r="F77" s="33">
        <v>0</v>
      </c>
      <c r="G77" s="33" t="s">
        <v>339</v>
      </c>
      <c r="H77" s="33" t="s">
        <v>340</v>
      </c>
      <c r="I77" s="33" t="s">
        <v>341</v>
      </c>
      <c r="J77" s="33" t="s">
        <v>342</v>
      </c>
      <c r="K77" s="33" t="s">
        <v>340</v>
      </c>
      <c r="L77" s="33"/>
      <c r="M77" s="33"/>
      <c r="N77" s="33"/>
      <c r="O77" s="33"/>
      <c r="P77" s="33"/>
      <c r="Q77" s="33"/>
      <c r="R77" s="33"/>
      <c r="S77" s="33"/>
    </row>
    <row r="78" spans="1:19">
      <c r="A78" s="33" t="str">
        <f t="shared" si="1"/>
        <v xml:space="preserve">
Consent-ExpiredUnsubscribeAllLinkClicks_Ln003_DE__Consent_EmailOnlyUnsubscribeFormRequest</v>
      </c>
      <c r="B78" s="34" t="str">
        <f>VLOOKUP($D78,Activities!$D:$G,3,FALSE)</f>
        <v>SQL</v>
      </c>
      <c r="C78" s="44" t="str">
        <f>VLOOKUP($D78,Activities!$D:$G,2,FALSE)</f>
        <v xml:space="preserve">
Consent-ExpiredUnsubscribeAllLinkClicks</v>
      </c>
      <c r="D78" s="33" t="s">
        <v>395</v>
      </c>
      <c r="E78" s="33" t="s">
        <v>397</v>
      </c>
      <c r="F78" s="33">
        <v>3</v>
      </c>
      <c r="G78" s="33" t="s">
        <v>339</v>
      </c>
      <c r="H78" s="33" t="s">
        <v>12</v>
      </c>
      <c r="I78" s="33" t="s">
        <v>341</v>
      </c>
      <c r="J78" s="33" t="s">
        <v>345</v>
      </c>
      <c r="K78" s="33" t="s">
        <v>346</v>
      </c>
      <c r="L78" s="33"/>
      <c r="M78" s="33"/>
      <c r="N78" s="33"/>
      <c r="O78" s="33"/>
      <c r="P78" s="33"/>
      <c r="Q78" s="33"/>
      <c r="R78" s="33"/>
      <c r="S78" s="33"/>
    </row>
    <row r="79" spans="1:19">
      <c r="A79" s="33" t="str">
        <f t="shared" si="1"/>
        <v xml:space="preserve">
Consent-ExpiredUnsubscribeAllLinkClicks_Ln004_DV___Subscribers</v>
      </c>
      <c r="B79" s="34" t="str">
        <f>VLOOKUP($D79,Activities!$D:$G,3,FALSE)</f>
        <v>SQL</v>
      </c>
      <c r="C79" s="44" t="str">
        <f>VLOOKUP($D79,Activities!$D:$G,2,FALSE)</f>
        <v xml:space="preserve">
Consent-ExpiredUnsubscribeAllLinkClicks</v>
      </c>
      <c r="D79" s="33" t="s">
        <v>395</v>
      </c>
      <c r="E79" s="33" t="s">
        <v>352</v>
      </c>
      <c r="F79" s="33">
        <v>4</v>
      </c>
      <c r="G79" s="33" t="s">
        <v>353</v>
      </c>
      <c r="H79" s="33" t="s">
        <v>348</v>
      </c>
      <c r="I79" s="33" t="s">
        <v>341</v>
      </c>
      <c r="J79" s="33" t="s">
        <v>369</v>
      </c>
      <c r="K79" s="33" t="s">
        <v>348</v>
      </c>
      <c r="L79" s="33" t="s">
        <v>397</v>
      </c>
      <c r="M79" s="33" t="s">
        <v>354</v>
      </c>
      <c r="N79" s="33" t="s">
        <v>354</v>
      </c>
      <c r="O79" s="33"/>
      <c r="P79" s="33"/>
      <c r="Q79" s="33"/>
      <c r="R79" s="33"/>
      <c r="S79" s="33"/>
    </row>
    <row r="80" spans="1:19">
      <c r="A80" s="33" t="str">
        <f t="shared" si="1"/>
        <v>Consent-UpdateProcessedData_Ln000_DE__Consent_EmailOnlyUnsubscribeFormRequest</v>
      </c>
      <c r="B80" s="34" t="str">
        <f>VLOOKUP($D80,Activities!$D:$G,3,FALSE)</f>
        <v>SQL</v>
      </c>
      <c r="C80" s="44" t="str">
        <f>VLOOKUP($D80,Activities!$D:$G,2,FALSE)</f>
        <v>Consent-UpdateProcessedData</v>
      </c>
      <c r="D80" s="33" t="s">
        <v>398</v>
      </c>
      <c r="E80" s="33" t="s">
        <v>397</v>
      </c>
      <c r="F80" s="33">
        <v>0</v>
      </c>
      <c r="G80" s="33" t="s">
        <v>339</v>
      </c>
      <c r="H80" s="33" t="s">
        <v>340</v>
      </c>
      <c r="I80" s="33" t="s">
        <v>341</v>
      </c>
      <c r="J80" s="33" t="s">
        <v>356</v>
      </c>
      <c r="K80" s="33" t="s">
        <v>340</v>
      </c>
      <c r="L80" s="33"/>
      <c r="M80" s="33"/>
      <c r="N80" s="33"/>
      <c r="O80" s="33"/>
      <c r="P80" s="33"/>
      <c r="Q80" s="33"/>
      <c r="R80" s="33"/>
      <c r="S80" s="33"/>
    </row>
    <row r="81" spans="1:19">
      <c r="A81" s="33" t="str">
        <f t="shared" si="1"/>
        <v>Consent-UpdateProcessedData_Ln002_DE__ConsentUpdates-ExpiredUnsubscribeLinkClicks</v>
      </c>
      <c r="B81" s="34" t="str">
        <f>VLOOKUP($D81,Activities!$D:$G,3,FALSE)</f>
        <v>SQL</v>
      </c>
      <c r="C81" s="44" t="str">
        <f>VLOOKUP($D81,Activities!$D:$G,2,FALSE)</f>
        <v>Consent-UpdateProcessedData</v>
      </c>
      <c r="D81" s="33" t="s">
        <v>398</v>
      </c>
      <c r="E81" s="33" t="s">
        <v>399</v>
      </c>
      <c r="F81" s="33">
        <v>2</v>
      </c>
      <c r="G81" s="33" t="s">
        <v>339</v>
      </c>
      <c r="H81" s="33" t="s">
        <v>12</v>
      </c>
      <c r="I81" s="33" t="s">
        <v>341</v>
      </c>
      <c r="J81" s="33" t="s">
        <v>345</v>
      </c>
      <c r="K81" s="33" t="s">
        <v>346</v>
      </c>
      <c r="L81" s="33"/>
      <c r="M81" s="33"/>
      <c r="N81" s="33"/>
      <c r="O81" s="33"/>
      <c r="P81" s="33"/>
      <c r="Q81" s="33"/>
      <c r="R81" s="33"/>
      <c r="S81" s="33"/>
    </row>
    <row r="82" spans="1:19">
      <c r="A82" s="33" t="str">
        <f t="shared" si="1"/>
        <v>Consent-UpdateProcessedData_Ln003_SDE__ContactPointEmail_Salesforce_5</v>
      </c>
      <c r="B82" s="34" t="str">
        <f>VLOOKUP($D82,Activities!$D:$G,3,FALSE)</f>
        <v>SQL</v>
      </c>
      <c r="C82" s="44" t="str">
        <f>VLOOKUP($D82,Activities!$D:$G,2,FALSE)</f>
        <v>Consent-UpdateProcessedData</v>
      </c>
      <c r="D82" s="33" t="s">
        <v>398</v>
      </c>
      <c r="E82" s="33" t="s">
        <v>347</v>
      </c>
      <c r="F82" s="33">
        <v>3</v>
      </c>
      <c r="G82" s="33" t="s">
        <v>344</v>
      </c>
      <c r="H82" s="33" t="s">
        <v>348</v>
      </c>
      <c r="I82" s="33" t="s">
        <v>341</v>
      </c>
      <c r="J82" s="33" t="s">
        <v>369</v>
      </c>
      <c r="K82" s="33" t="s">
        <v>348</v>
      </c>
      <c r="L82" s="33" t="s">
        <v>399</v>
      </c>
      <c r="M82" s="33" t="s">
        <v>354</v>
      </c>
      <c r="N82" s="33" t="s">
        <v>354</v>
      </c>
      <c r="O82" s="33"/>
      <c r="P82" s="33"/>
      <c r="Q82" s="33"/>
      <c r="R82" s="33"/>
      <c r="S82" s="33"/>
    </row>
    <row r="83" spans="1:19">
      <c r="A83" s="33" t="str">
        <f t="shared" si="1"/>
        <v>UnsubscribedSubscribers_Ln000_DE__UnsubscribedSubscribers</v>
      </c>
      <c r="B83" s="34" t="str">
        <f>VLOOKUP($D83,Activities!$D:$G,3,FALSE)</f>
        <v>SQL</v>
      </c>
      <c r="C83" s="44" t="str">
        <f>VLOOKUP($D83,Activities!$D:$G,2,FALSE)</f>
        <v>UnsubscribedSubscribers</v>
      </c>
      <c r="D83" s="33" t="s">
        <v>400</v>
      </c>
      <c r="E83" s="33" t="s">
        <v>401</v>
      </c>
      <c r="F83" s="33">
        <v>0</v>
      </c>
      <c r="G83" s="33" t="s">
        <v>339</v>
      </c>
      <c r="H83" s="33" t="s">
        <v>340</v>
      </c>
      <c r="I83" s="33" t="s">
        <v>341</v>
      </c>
      <c r="J83" s="33" t="s">
        <v>342</v>
      </c>
      <c r="K83" s="33" t="s">
        <v>340</v>
      </c>
      <c r="L83" s="33"/>
      <c r="M83" s="33"/>
      <c r="N83" s="33"/>
      <c r="O83" s="33"/>
      <c r="P83" s="33"/>
      <c r="Q83" s="33"/>
      <c r="R83" s="33"/>
      <c r="S83" s="33"/>
    </row>
    <row r="84" spans="1:19">
      <c r="A84" s="33" t="str">
        <f t="shared" si="1"/>
        <v>UnsubscribedSubscribers_Ln002_DV___Subscribers</v>
      </c>
      <c r="B84" s="34" t="str">
        <f>VLOOKUP($D84,Activities!$D:$G,3,FALSE)</f>
        <v>SQL</v>
      </c>
      <c r="C84" s="44" t="str">
        <f>VLOOKUP($D84,Activities!$D:$G,2,FALSE)</f>
        <v>UnsubscribedSubscribers</v>
      </c>
      <c r="D84" s="33" t="s">
        <v>400</v>
      </c>
      <c r="E84" s="33" t="s">
        <v>352</v>
      </c>
      <c r="F84" s="33">
        <v>2</v>
      </c>
      <c r="G84" s="33" t="s">
        <v>353</v>
      </c>
      <c r="H84" s="33" t="s">
        <v>12</v>
      </c>
      <c r="I84" s="33" t="s">
        <v>341</v>
      </c>
      <c r="J84" s="33" t="s">
        <v>345</v>
      </c>
      <c r="K84" s="33" t="s">
        <v>346</v>
      </c>
      <c r="L84" s="33"/>
      <c r="M84" s="33"/>
      <c r="N84" s="33"/>
      <c r="O84" s="33"/>
      <c r="P84" s="33"/>
      <c r="Q84" s="33"/>
      <c r="R84" s="33"/>
      <c r="S84" s="33"/>
    </row>
    <row r="85" spans="1:19">
      <c r="A85" s="33" t="str">
        <f t="shared" si="1"/>
        <v>Add_PrimaryEmailRecords_To_OptOut_From_Sales_Cloud_Ln000_DE__
Unsubscribe_Record_From_Sales_Cloud</v>
      </c>
      <c r="B85" s="34" t="str">
        <f>VLOOKUP($D85,Activities!$D:$G,3,FALSE)</f>
        <v>SQL</v>
      </c>
      <c r="C85" s="44" t="str">
        <f>VLOOKUP($D85,Activities!$D:$G,2,FALSE)</f>
        <v>Add_PrimaryEmailRecords_To_OptOut_From_Sales_Cloud</v>
      </c>
      <c r="D85" s="33" t="s">
        <v>402</v>
      </c>
      <c r="E85" s="33" t="s">
        <v>403</v>
      </c>
      <c r="F85" s="33">
        <v>0</v>
      </c>
      <c r="G85" s="33" t="s">
        <v>339</v>
      </c>
      <c r="H85" s="33" t="s">
        <v>340</v>
      </c>
      <c r="I85" s="33" t="s">
        <v>341</v>
      </c>
      <c r="J85" s="33" t="s">
        <v>342</v>
      </c>
      <c r="K85" s="33" t="s">
        <v>340</v>
      </c>
      <c r="L85" s="33"/>
      <c r="M85" s="33"/>
      <c r="N85" s="33"/>
      <c r="O85" s="33"/>
      <c r="P85" s="33"/>
      <c r="Q85" s="33"/>
      <c r="R85" s="33"/>
      <c r="S85" s="33"/>
    </row>
    <row r="86" spans="1:19">
      <c r="A86" s="33" t="str">
        <f t="shared" si="1"/>
        <v>Add_PrimaryEmailRecords_To_OptOut_From_Sales_Cloud_Ln007_DE__Unsubscribe_Record</v>
      </c>
      <c r="B86" s="34" t="str">
        <f>VLOOKUP($D86,Activities!$D:$G,3,FALSE)</f>
        <v>SQL</v>
      </c>
      <c r="C86" s="44" t="str">
        <f>VLOOKUP($D86,Activities!$D:$G,2,FALSE)</f>
        <v>Add_PrimaryEmailRecords_To_OptOut_From_Sales_Cloud</v>
      </c>
      <c r="D86" s="33" t="s">
        <v>402</v>
      </c>
      <c r="E86" s="33" t="s">
        <v>404</v>
      </c>
      <c r="F86" s="33">
        <v>7</v>
      </c>
      <c r="G86" s="33" t="s">
        <v>339</v>
      </c>
      <c r="H86" s="33" t="s">
        <v>405</v>
      </c>
      <c r="I86" s="33" t="s">
        <v>341</v>
      </c>
      <c r="J86" s="33" t="s">
        <v>345</v>
      </c>
      <c r="K86" s="33" t="s">
        <v>346</v>
      </c>
      <c r="L86" s="33"/>
      <c r="M86" s="33"/>
      <c r="N86" s="33"/>
      <c r="O86" s="33"/>
      <c r="P86" s="33"/>
      <c r="Q86" s="33"/>
      <c r="R86" s="33"/>
      <c r="S86" s="33"/>
    </row>
    <row r="87" spans="1:19">
      <c r="A87" s="33" t="str">
        <f t="shared" si="1"/>
        <v>Update_Associated_Email_From_All_Subscribers_Ln000_DE__Unsubscribe_Record</v>
      </c>
      <c r="B87" s="34" t="str">
        <f>VLOOKUP($D87,Activities!$D:$G,3,FALSE)</f>
        <v>SQL</v>
      </c>
      <c r="C87" s="44" t="str">
        <f>VLOOKUP($D87,Activities!$D:$G,2,FALSE)</f>
        <v>Update_Associated_Email_From_All_Subscribers</v>
      </c>
      <c r="D87" s="33" t="s">
        <v>406</v>
      </c>
      <c r="E87" s="33" t="s">
        <v>404</v>
      </c>
      <c r="F87" s="33">
        <v>0</v>
      </c>
      <c r="G87" s="33" t="s">
        <v>339</v>
      </c>
      <c r="H87" s="33" t="s">
        <v>340</v>
      </c>
      <c r="I87" s="33" t="s">
        <v>341</v>
      </c>
      <c r="J87" s="33" t="s">
        <v>356</v>
      </c>
      <c r="K87" s="33" t="s">
        <v>340</v>
      </c>
      <c r="L87" s="33"/>
      <c r="M87" s="33"/>
      <c r="N87" s="33"/>
      <c r="O87" s="33"/>
      <c r="P87" s="33"/>
      <c r="Q87" s="33"/>
      <c r="R87" s="33"/>
      <c r="S87" s="33"/>
    </row>
    <row r="88" spans="1:19">
      <c r="A88" s="33" t="str">
        <f t="shared" si="1"/>
        <v>Update_Associated_Email_From_All_Subscribers_Ln015_SDE__ContactPointEmail_Salesforce_5</v>
      </c>
      <c r="B88" s="34" t="str">
        <f>VLOOKUP($D88,Activities!$D:$G,3,FALSE)</f>
        <v>SQL</v>
      </c>
      <c r="C88" s="44" t="str">
        <f>VLOOKUP($D88,Activities!$D:$G,2,FALSE)</f>
        <v>Update_Associated_Email_From_All_Subscribers</v>
      </c>
      <c r="D88" s="33" t="s">
        <v>406</v>
      </c>
      <c r="E88" s="33" t="s">
        <v>347</v>
      </c>
      <c r="F88" s="33">
        <v>15</v>
      </c>
      <c r="G88" s="33" t="s">
        <v>344</v>
      </c>
      <c r="H88" s="33" t="s">
        <v>405</v>
      </c>
      <c r="I88" s="33" t="s">
        <v>341</v>
      </c>
      <c r="J88" s="33" t="s">
        <v>345</v>
      </c>
      <c r="K88" s="33" t="s">
        <v>346</v>
      </c>
      <c r="L88" s="33"/>
      <c r="M88" s="33"/>
      <c r="N88" s="33"/>
      <c r="O88" s="33"/>
      <c r="P88" s="33"/>
      <c r="Q88" s="33"/>
      <c r="R88" s="33"/>
      <c r="S88" s="33"/>
    </row>
    <row r="89" spans="1:19">
      <c r="A89" s="33" t="str">
        <f t="shared" si="1"/>
        <v>Update_Associated_Email_From_All_Subscribers_Ln016_DV___Subscribers</v>
      </c>
      <c r="B89" s="34" t="str">
        <f>VLOOKUP($D89,Activities!$D:$G,3,FALSE)</f>
        <v>SQL</v>
      </c>
      <c r="C89" s="44" t="str">
        <f>VLOOKUP($D89,Activities!$D:$G,2,FALSE)</f>
        <v>Update_Associated_Email_From_All_Subscribers</v>
      </c>
      <c r="D89" s="33" t="s">
        <v>406</v>
      </c>
      <c r="E89" s="33" t="s">
        <v>352</v>
      </c>
      <c r="F89" s="33">
        <v>16</v>
      </c>
      <c r="G89" s="33" t="s">
        <v>353</v>
      </c>
      <c r="H89" s="33" t="s">
        <v>348</v>
      </c>
      <c r="I89" s="33" t="s">
        <v>341</v>
      </c>
      <c r="J89" s="33" t="s">
        <v>369</v>
      </c>
      <c r="K89" s="33" t="s">
        <v>348</v>
      </c>
      <c r="L89" s="33" t="s">
        <v>347</v>
      </c>
      <c r="M89" s="33" t="s">
        <v>354</v>
      </c>
      <c r="N89" s="33" t="s">
        <v>354</v>
      </c>
      <c r="O89" s="33"/>
      <c r="P89" s="33"/>
      <c r="Q89" s="33"/>
      <c r="R89" s="33"/>
      <c r="S89" s="33"/>
    </row>
    <row r="90" spans="1:19">
      <c r="A90" s="33" t="str">
        <f t="shared" si="1"/>
        <v>Update_Associated_Email_From_All_Subscribers_Ln018_DE__Unsubscribe_Record</v>
      </c>
      <c r="B90" s="34" t="str">
        <f>VLOOKUP($D90,Activities!$D:$G,3,FALSE)</f>
        <v>SQL</v>
      </c>
      <c r="C90" s="44" t="str">
        <f>VLOOKUP($D90,Activities!$D:$G,2,FALSE)</f>
        <v>Update_Associated_Email_From_All_Subscribers</v>
      </c>
      <c r="D90" s="33" t="s">
        <v>406</v>
      </c>
      <c r="E90" s="33" t="s">
        <v>404</v>
      </c>
      <c r="F90" s="33">
        <v>18</v>
      </c>
      <c r="G90" s="33" t="s">
        <v>339</v>
      </c>
      <c r="H90" s="33" t="s">
        <v>348</v>
      </c>
      <c r="I90" s="33" t="s">
        <v>341</v>
      </c>
      <c r="J90" s="33" t="s">
        <v>407</v>
      </c>
      <c r="K90" s="33" t="s">
        <v>348</v>
      </c>
      <c r="L90" s="33" t="s">
        <v>347</v>
      </c>
      <c r="M90" s="33" t="s">
        <v>351</v>
      </c>
      <c r="N90" s="33" t="s">
        <v>408</v>
      </c>
      <c r="O90" s="33"/>
      <c r="P90" s="33"/>
      <c r="Q90" s="33"/>
      <c r="R90" s="33"/>
      <c r="S90" s="33"/>
    </row>
    <row r="91" spans="1:19">
      <c r="A91" s="33" t="str">
        <f t="shared" si="1"/>
        <v>Unsubscribe_Associated_Email_From_All_Subscribers_Ln000_DE__Unsubscribe_Record_W_AssociatedEmails</v>
      </c>
      <c r="B91" s="34" t="str">
        <f>VLOOKUP($D91,Activities!$D:$G,3,FALSE)</f>
        <v>SQL</v>
      </c>
      <c r="C91" s="44" t="str">
        <f>VLOOKUP($D91,Activities!$D:$G,2,FALSE)</f>
        <v>Unsubscribe_Associated_Email_From_All_Subscribers</v>
      </c>
      <c r="D91" s="33" t="s">
        <v>409</v>
      </c>
      <c r="E91" s="33" t="s">
        <v>410</v>
      </c>
      <c r="F91" s="33">
        <v>0</v>
      </c>
      <c r="G91" s="33" t="s">
        <v>339</v>
      </c>
      <c r="H91" s="33" t="s">
        <v>340</v>
      </c>
      <c r="I91" s="33" t="s">
        <v>341</v>
      </c>
      <c r="J91" s="33" t="s">
        <v>342</v>
      </c>
      <c r="K91" s="33" t="s">
        <v>340</v>
      </c>
      <c r="L91" s="33"/>
      <c r="M91" s="33"/>
      <c r="N91" s="33"/>
      <c r="O91" s="33"/>
      <c r="P91" s="33"/>
      <c r="Q91" s="33"/>
      <c r="R91" s="33"/>
      <c r="S91" s="33"/>
    </row>
    <row r="92" spans="1:19">
      <c r="A92" s="33" t="str">
        <f t="shared" si="1"/>
        <v>Unsubscribe_Associated_Email_From_All_Subscribers_Ln018_DE__Unsubscribe_Record</v>
      </c>
      <c r="B92" s="34" t="str">
        <f>VLOOKUP($D92,Activities!$D:$G,3,FALSE)</f>
        <v>SQL</v>
      </c>
      <c r="C92" s="44" t="str">
        <f>VLOOKUP($D92,Activities!$D:$G,2,FALSE)</f>
        <v>Unsubscribe_Associated_Email_From_All_Subscribers</v>
      </c>
      <c r="D92" s="33" t="s">
        <v>409</v>
      </c>
      <c r="E92" s="33" t="s">
        <v>404</v>
      </c>
      <c r="F92" s="33">
        <v>18</v>
      </c>
      <c r="G92" s="33" t="s">
        <v>339</v>
      </c>
      <c r="H92" s="33" t="s">
        <v>12</v>
      </c>
      <c r="I92" s="33" t="s">
        <v>341</v>
      </c>
      <c r="J92" s="33" t="s">
        <v>345</v>
      </c>
      <c r="K92" s="33" t="s">
        <v>346</v>
      </c>
      <c r="L92" s="33"/>
      <c r="M92" s="33"/>
      <c r="N92" s="33"/>
      <c r="O92" s="33"/>
      <c r="P92" s="33"/>
      <c r="Q92" s="33"/>
      <c r="R92" s="33"/>
      <c r="S92" s="33"/>
    </row>
    <row r="93" spans="1:19">
      <c r="A93" s="33" t="str">
        <f t="shared" si="1"/>
        <v>Unsubscribe_Associated_Email_From_All_Subscribers_Ln020_DV___Subscribers</v>
      </c>
      <c r="B93" s="34" t="str">
        <f>VLOOKUP($D93,Activities!$D:$G,3,FALSE)</f>
        <v>SQL</v>
      </c>
      <c r="C93" s="44" t="str">
        <f>VLOOKUP($D93,Activities!$D:$G,2,FALSE)</f>
        <v>Unsubscribe_Associated_Email_From_All_Subscribers</v>
      </c>
      <c r="D93" s="33" t="s">
        <v>409</v>
      </c>
      <c r="E93" s="33" t="s">
        <v>352</v>
      </c>
      <c r="F93" s="33">
        <v>20</v>
      </c>
      <c r="G93" s="33" t="s">
        <v>353</v>
      </c>
      <c r="H93" s="33" t="s">
        <v>348</v>
      </c>
      <c r="I93" s="33" t="s">
        <v>341</v>
      </c>
      <c r="J93" s="33" t="s">
        <v>369</v>
      </c>
      <c r="K93" s="33" t="s">
        <v>348</v>
      </c>
      <c r="L93" s="33" t="s">
        <v>404</v>
      </c>
      <c r="M93" s="33" t="s">
        <v>411</v>
      </c>
      <c r="N93" s="33" t="s">
        <v>411</v>
      </c>
      <c r="O93" s="33"/>
      <c r="P93" s="33"/>
      <c r="Q93" s="33"/>
      <c r="R93" s="33"/>
      <c r="S93" s="33"/>
    </row>
    <row r="94" spans="1:19">
      <c r="A94" s="33" t="str">
        <f t="shared" si="1"/>
        <v>Update_PrimaryEmailRecords_From_Unsubscribe_Record_Ln000_DE__Unsubscribe_Record_W_AssociatedEmails</v>
      </c>
      <c r="B94" s="34" t="str">
        <f>VLOOKUP($D94,Activities!$D:$G,3,FALSE)</f>
        <v>SQL</v>
      </c>
      <c r="C94" s="44" t="str">
        <f>VLOOKUP($D94,Activities!$D:$G,2,FALSE)</f>
        <v>Update_PrimaryEmailRecords_From_Unsubscribe_Record</v>
      </c>
      <c r="D94" s="33" t="s">
        <v>412</v>
      </c>
      <c r="E94" s="33" t="s">
        <v>410</v>
      </c>
      <c r="F94" s="33">
        <v>0</v>
      </c>
      <c r="G94" s="33" t="s">
        <v>339</v>
      </c>
      <c r="H94" s="33" t="s">
        <v>340</v>
      </c>
      <c r="I94" s="33" t="s">
        <v>341</v>
      </c>
      <c r="J94" s="33" t="s">
        <v>413</v>
      </c>
      <c r="K94" s="33" t="s">
        <v>340</v>
      </c>
      <c r="L94" s="33"/>
      <c r="M94" s="33"/>
      <c r="N94" s="33"/>
      <c r="O94" s="33"/>
      <c r="P94" s="33"/>
      <c r="Q94" s="33"/>
      <c r="R94" s="33"/>
      <c r="S94" s="33"/>
    </row>
    <row r="95" spans="1:19">
      <c r="A95" s="33" t="str">
        <f t="shared" si="1"/>
        <v>Update_PrimaryEmailRecords_From_Unsubscribe_Record_Ln008_DE__Unsubscribe_Record</v>
      </c>
      <c r="B95" s="34" t="str">
        <f>VLOOKUP($D95,Activities!$D:$G,3,FALSE)</f>
        <v>SQL</v>
      </c>
      <c r="C95" s="44" t="str">
        <f>VLOOKUP($D95,Activities!$D:$G,2,FALSE)</f>
        <v>Update_PrimaryEmailRecords_From_Unsubscribe_Record</v>
      </c>
      <c r="D95" s="33" t="s">
        <v>412</v>
      </c>
      <c r="E95" s="33" t="s">
        <v>404</v>
      </c>
      <c r="F95" s="33">
        <v>8</v>
      </c>
      <c r="G95" s="33" t="s">
        <v>339</v>
      </c>
      <c r="H95" s="33" t="s">
        <v>12</v>
      </c>
      <c r="I95" s="33" t="s">
        <v>341</v>
      </c>
      <c r="J95" s="33" t="s">
        <v>345</v>
      </c>
      <c r="K95" s="33" t="s">
        <v>346</v>
      </c>
      <c r="L95" s="33"/>
      <c r="M95" s="33"/>
      <c r="N95" s="33"/>
      <c r="O95" s="33"/>
      <c r="P95" s="33"/>
      <c r="Q95" s="33"/>
      <c r="R95" s="33"/>
      <c r="S95" s="33"/>
    </row>
    <row r="96" spans="1:19">
      <c r="A96" s="33" t="str">
        <f t="shared" si="1"/>
        <v>Update_PrimaryEmailRecords_From_Unsubscribe_Record_Ln009_DE__Unsubscribe_Record_W_AssociatedEmails</v>
      </c>
      <c r="B96" s="34" t="str">
        <f>VLOOKUP($D96,Activities!$D:$G,3,FALSE)</f>
        <v>SQL</v>
      </c>
      <c r="C96" s="44" t="str">
        <f>VLOOKUP($D96,Activities!$D:$G,2,FALSE)</f>
        <v>Update_PrimaryEmailRecords_From_Unsubscribe_Record</v>
      </c>
      <c r="D96" s="33" t="s">
        <v>412</v>
      </c>
      <c r="E96" s="33" t="s">
        <v>410</v>
      </c>
      <c r="F96" s="33">
        <v>9</v>
      </c>
      <c r="G96" s="33" t="s">
        <v>339</v>
      </c>
      <c r="H96" s="33" t="s">
        <v>348</v>
      </c>
      <c r="I96" s="33" t="s">
        <v>341</v>
      </c>
      <c r="J96" s="33" t="s">
        <v>407</v>
      </c>
      <c r="K96" s="33" t="s">
        <v>348</v>
      </c>
      <c r="L96" s="33" t="s">
        <v>404</v>
      </c>
      <c r="M96" s="33" t="s">
        <v>411</v>
      </c>
      <c r="N96" s="33" t="s">
        <v>411</v>
      </c>
      <c r="O96" s="33"/>
      <c r="P96" s="33"/>
      <c r="Q96" s="33"/>
      <c r="R96" s="33"/>
      <c r="S96" s="33"/>
    </row>
    <row r="97" spans="1:19">
      <c r="A97" s="33" t="str">
        <f t="shared" si="1"/>
        <v>Update_Unsubscriber_Preferences_Email_Ln000_DE__Unsubscriber_Preferences_Email</v>
      </c>
      <c r="B97" s="34" t="str">
        <f>VLOOKUP($D97,Activities!$D:$G,3,FALSE)</f>
        <v>SQL</v>
      </c>
      <c r="C97" s="44" t="str">
        <f>VLOOKUP($D97,Activities!$D:$G,2,FALSE)</f>
        <v>Update_Unsubscriber_Preferences_Email</v>
      </c>
      <c r="D97" s="33" t="s">
        <v>414</v>
      </c>
      <c r="E97" s="14" t="s">
        <v>383</v>
      </c>
      <c r="F97" s="33">
        <v>0</v>
      </c>
      <c r="G97" s="33" t="s">
        <v>339</v>
      </c>
      <c r="H97" s="33" t="s">
        <v>340</v>
      </c>
      <c r="I97" s="33" t="s">
        <v>341</v>
      </c>
      <c r="J97" s="33" t="s">
        <v>413</v>
      </c>
      <c r="K97" s="33" t="s">
        <v>340</v>
      </c>
      <c r="L97" s="33"/>
      <c r="M97" s="33"/>
      <c r="N97" s="33"/>
      <c r="O97" s="33"/>
      <c r="P97" s="33"/>
      <c r="Q97" s="33"/>
      <c r="R97" s="33"/>
      <c r="S97" s="33"/>
    </row>
    <row r="98" spans="1:19">
      <c r="A98" s="33" t="str">
        <f t="shared" si="1"/>
        <v>Update_Unsubscriber_Preferences_Email_Ln029_DE__Subscriber_Preferences_Email</v>
      </c>
      <c r="B98" s="34" t="str">
        <f>VLOOKUP($D98,Activities!$D:$G,3,FALSE)</f>
        <v>SQL</v>
      </c>
      <c r="C98" s="44" t="str">
        <f>VLOOKUP($D98,Activities!$D:$G,2,FALSE)</f>
        <v>Update_Unsubscriber_Preferences_Email</v>
      </c>
      <c r="D98" s="33" t="s">
        <v>414</v>
      </c>
      <c r="E98" s="33" t="s">
        <v>384</v>
      </c>
      <c r="F98" s="33">
        <v>29</v>
      </c>
      <c r="G98" s="33" t="s">
        <v>339</v>
      </c>
      <c r="H98" s="33" t="s">
        <v>12</v>
      </c>
      <c r="I98" s="33" t="s">
        <v>341</v>
      </c>
      <c r="J98" s="33" t="s">
        <v>345</v>
      </c>
      <c r="K98" s="33" t="s">
        <v>346</v>
      </c>
      <c r="L98" s="33"/>
      <c r="M98" s="33"/>
      <c r="N98" s="33"/>
      <c r="O98" s="33"/>
      <c r="P98" s="33"/>
      <c r="Q98" s="33"/>
      <c r="R98" s="33"/>
      <c r="S98" s="33"/>
    </row>
    <row r="99" spans="1:19">
      <c r="A99" s="33" t="str">
        <f t="shared" si="1"/>
        <v>Update_Unsubscriber_Preferences_Email_Ln031_DE__Unsubscribe_Record_W_AssociatedEmails</v>
      </c>
      <c r="B99" s="34" t="str">
        <f>VLOOKUP($D99,Activities!$D:$G,3,FALSE)</f>
        <v>SQL</v>
      </c>
      <c r="C99" s="44" t="str">
        <f>VLOOKUP($D99,Activities!$D:$G,2,FALSE)</f>
        <v>Update_Unsubscriber_Preferences_Email</v>
      </c>
      <c r="D99" s="33" t="s">
        <v>414</v>
      </c>
      <c r="E99" s="33" t="s">
        <v>410</v>
      </c>
      <c r="F99" s="33">
        <v>31</v>
      </c>
      <c r="G99" s="33" t="s">
        <v>339</v>
      </c>
      <c r="H99" s="33" t="s">
        <v>348</v>
      </c>
      <c r="I99" s="33" t="s">
        <v>341</v>
      </c>
      <c r="J99" s="33" t="s">
        <v>385</v>
      </c>
      <c r="K99" s="33" t="s">
        <v>348</v>
      </c>
      <c r="L99" s="33" t="s">
        <v>384</v>
      </c>
      <c r="M99" s="33" t="s">
        <v>354</v>
      </c>
      <c r="N99" s="33" t="s">
        <v>354</v>
      </c>
      <c r="O99" s="33"/>
      <c r="P99" s="33"/>
      <c r="Q99" s="33"/>
      <c r="R99" s="33"/>
      <c r="S99" s="33"/>
    </row>
    <row r="100" spans="1:19">
      <c r="A100" s="33" t="str">
        <f t="shared" si="1"/>
        <v>Update_Unsubscriber_Preferences_Email_Ln033_SDE__Lead_Salesforce_5</v>
      </c>
      <c r="B100" s="34" t="str">
        <f>VLOOKUP($D100,Activities!$D:$G,3,FALSE)</f>
        <v>SQL</v>
      </c>
      <c r="C100" s="44" t="str">
        <f>VLOOKUP($D100,Activities!$D:$G,2,FALSE)</f>
        <v>Update_Unsubscriber_Preferences_Email</v>
      </c>
      <c r="D100" s="33" t="s">
        <v>414</v>
      </c>
      <c r="E100" s="33" t="s">
        <v>371</v>
      </c>
      <c r="F100" s="33">
        <v>33</v>
      </c>
      <c r="G100" s="33" t="s">
        <v>344</v>
      </c>
      <c r="H100" s="33" t="s">
        <v>348</v>
      </c>
      <c r="I100" s="33" t="s">
        <v>341</v>
      </c>
      <c r="J100" s="33" t="s">
        <v>369</v>
      </c>
      <c r="K100" s="33" t="s">
        <v>348</v>
      </c>
      <c r="L100" s="33" t="s">
        <v>410</v>
      </c>
      <c r="M100" s="33" t="s">
        <v>372</v>
      </c>
      <c r="N100" s="33" t="s">
        <v>25</v>
      </c>
      <c r="O100" s="33"/>
      <c r="P100" s="33"/>
      <c r="Q100" s="33"/>
      <c r="R100" s="33"/>
      <c r="S100" s="33"/>
    </row>
    <row r="101" spans="1:19">
      <c r="A101" s="33" t="str">
        <f t="shared" si="1"/>
        <v>Update_Unsubscriber_Preferences_Email_Ln035_SDE__Contact_Salesforce_5</v>
      </c>
      <c r="B101" s="34" t="str">
        <f>VLOOKUP($D101,Activities!$D:$G,3,FALSE)</f>
        <v>SQL</v>
      </c>
      <c r="C101" s="44" t="str">
        <f>VLOOKUP($D101,Activities!$D:$G,2,FALSE)</f>
        <v>Update_Unsubscriber_Preferences_Email</v>
      </c>
      <c r="D101" s="33" t="s">
        <v>414</v>
      </c>
      <c r="E101" s="33" t="s">
        <v>374</v>
      </c>
      <c r="F101" s="33">
        <v>35</v>
      </c>
      <c r="G101" s="33" t="s">
        <v>344</v>
      </c>
      <c r="H101" s="33" t="s">
        <v>348</v>
      </c>
      <c r="I101" s="33" t="s">
        <v>341</v>
      </c>
      <c r="J101" s="33" t="s">
        <v>369</v>
      </c>
      <c r="K101" s="33" t="s">
        <v>348</v>
      </c>
      <c r="L101" s="33" t="s">
        <v>410</v>
      </c>
      <c r="M101" s="33" t="s">
        <v>372</v>
      </c>
      <c r="N101" s="33" t="s">
        <v>25</v>
      </c>
      <c r="O101" s="33"/>
      <c r="P101" s="33"/>
      <c r="Q101" s="33"/>
      <c r="R101" s="33"/>
      <c r="S101" s="33"/>
    </row>
    <row r="102" spans="1:19">
      <c r="A102" s="33" t="str">
        <f t="shared" si="1"/>
        <v>Add_Unsubscribe_To_Audit_Preferences_From_Unsubscribe_Pref_Email_Ln000_DE__Audit_Preferences</v>
      </c>
      <c r="B102" s="34" t="str">
        <f>VLOOKUP($D102,Activities!$D:$G,3,FALSE)</f>
        <v>SQL</v>
      </c>
      <c r="C102" s="44" t="str">
        <f>VLOOKUP($D102,Activities!$D:$G,2,FALSE)</f>
        <v>Add_Unsubscribe_To_Audit_Preferences_From_Unsubscribe_Pref_Email</v>
      </c>
      <c r="D102" s="33" t="s">
        <v>415</v>
      </c>
      <c r="E102" s="14" t="s">
        <v>367</v>
      </c>
      <c r="F102" s="33">
        <v>0</v>
      </c>
      <c r="G102" s="33" t="s">
        <v>339</v>
      </c>
      <c r="H102" s="33" t="s">
        <v>340</v>
      </c>
      <c r="I102" s="33" t="s">
        <v>341</v>
      </c>
      <c r="J102" s="33" t="s">
        <v>416</v>
      </c>
      <c r="K102" s="33" t="s">
        <v>340</v>
      </c>
      <c r="L102" s="33"/>
      <c r="M102" s="33"/>
      <c r="N102" s="33"/>
      <c r="O102" s="33"/>
      <c r="P102" s="33"/>
      <c r="Q102" s="33"/>
      <c r="R102" s="33"/>
      <c r="S102" s="33"/>
    </row>
    <row r="103" spans="1:19">
      <c r="A103" s="33" t="str">
        <f t="shared" si="1"/>
        <v>Add_Unsubscribe_To_Audit_Preferences_From_Unsubscribe_Pref_Email_Ln030_DE__Subscriber_Preferences_Email</v>
      </c>
      <c r="B103" s="34" t="str">
        <f>VLOOKUP($D103,Activities!$D:$G,3,FALSE)</f>
        <v>SQL</v>
      </c>
      <c r="C103" s="44" t="str">
        <f>VLOOKUP($D103,Activities!$D:$G,2,FALSE)</f>
        <v>Add_Unsubscribe_To_Audit_Preferences_From_Unsubscribe_Pref_Email</v>
      </c>
      <c r="D103" s="33" t="s">
        <v>415</v>
      </c>
      <c r="E103" s="33" t="s">
        <v>384</v>
      </c>
      <c r="F103" s="33">
        <v>30</v>
      </c>
      <c r="G103" s="33" t="s">
        <v>339</v>
      </c>
      <c r="H103" s="33" t="s">
        <v>12</v>
      </c>
      <c r="I103" s="33" t="s">
        <v>341</v>
      </c>
      <c r="J103" s="33" t="s">
        <v>345</v>
      </c>
      <c r="K103" s="33" t="s">
        <v>346</v>
      </c>
      <c r="L103" s="33"/>
      <c r="M103" s="33"/>
      <c r="N103" s="33"/>
      <c r="O103" s="33"/>
      <c r="P103" s="33"/>
      <c r="Q103" s="33"/>
      <c r="R103" s="33"/>
      <c r="S103" s="33"/>
    </row>
    <row r="104" spans="1:19">
      <c r="A104" s="33" t="str">
        <f t="shared" si="1"/>
        <v>Add_Unsubscribe_To_Audit_Preferences_From_Unsubscribe_Pref_Email_Ln032_DE__Unsubscribe_Record_W_AssociatedEmails</v>
      </c>
      <c r="B104" s="34" t="str">
        <f>VLOOKUP($D104,Activities!$D:$G,3,FALSE)</f>
        <v>SQL</v>
      </c>
      <c r="C104" s="44" t="str">
        <f>VLOOKUP($D104,Activities!$D:$G,2,FALSE)</f>
        <v>Add_Unsubscribe_To_Audit_Preferences_From_Unsubscribe_Pref_Email</v>
      </c>
      <c r="D104" s="33" t="s">
        <v>415</v>
      </c>
      <c r="E104" s="33" t="s">
        <v>410</v>
      </c>
      <c r="F104" s="33">
        <v>32</v>
      </c>
      <c r="G104" s="33" t="s">
        <v>339</v>
      </c>
      <c r="H104" s="33" t="s">
        <v>348</v>
      </c>
      <c r="I104" s="33" t="s">
        <v>341</v>
      </c>
      <c r="J104" s="33" t="s">
        <v>385</v>
      </c>
      <c r="K104" s="33" t="s">
        <v>348</v>
      </c>
      <c r="L104" s="33" t="s">
        <v>384</v>
      </c>
      <c r="M104" s="33" t="s">
        <v>354</v>
      </c>
      <c r="N104" s="33" t="s">
        <v>354</v>
      </c>
      <c r="O104" s="33"/>
      <c r="P104" s="33"/>
      <c r="Q104" s="33"/>
      <c r="R104" s="33"/>
      <c r="S104" s="33"/>
    </row>
    <row r="105" spans="1:19">
      <c r="A105" s="33" t="str">
        <f t="shared" si="1"/>
        <v>Add_Unsubscribe_To_Audit_Preferences_From_Unsubscribe_Pref_Email_Ln034_SDE__Lead_Salesforce_5</v>
      </c>
      <c r="B105" s="34" t="str">
        <f>VLOOKUP($D105,Activities!$D:$G,3,FALSE)</f>
        <v>SQL</v>
      </c>
      <c r="C105" s="44" t="str">
        <f>VLOOKUP($D105,Activities!$D:$G,2,FALSE)</f>
        <v>Add_Unsubscribe_To_Audit_Preferences_From_Unsubscribe_Pref_Email</v>
      </c>
      <c r="D105" s="33" t="s">
        <v>415</v>
      </c>
      <c r="E105" s="33" t="s">
        <v>371</v>
      </c>
      <c r="F105" s="33">
        <v>34</v>
      </c>
      <c r="G105" s="33" t="s">
        <v>344</v>
      </c>
      <c r="H105" s="33" t="s">
        <v>348</v>
      </c>
      <c r="I105" s="33" t="s">
        <v>341</v>
      </c>
      <c r="J105" s="33" t="s">
        <v>369</v>
      </c>
      <c r="K105" s="33" t="s">
        <v>348</v>
      </c>
      <c r="L105" s="33" t="s">
        <v>410</v>
      </c>
      <c r="M105" s="33" t="s">
        <v>372</v>
      </c>
      <c r="N105" s="33" t="s">
        <v>25</v>
      </c>
      <c r="O105" s="33"/>
      <c r="P105" s="33"/>
      <c r="Q105" s="33"/>
      <c r="R105" s="33"/>
      <c r="S105" s="33"/>
    </row>
    <row r="106" spans="1:19">
      <c r="A106" s="33" t="str">
        <f t="shared" si="1"/>
        <v>Add_Unsubscribe_To_Audit_Preferences_From_Unsubscribe_Pref_Email_Ln036_SDE__Contact_Salesforce_5</v>
      </c>
      <c r="B106" s="34" t="str">
        <f>VLOOKUP($D106,Activities!$D:$G,3,FALSE)</f>
        <v>SQL</v>
      </c>
      <c r="C106" s="44" t="str">
        <f>VLOOKUP($D106,Activities!$D:$G,2,FALSE)</f>
        <v>Add_Unsubscribe_To_Audit_Preferences_From_Unsubscribe_Pref_Email</v>
      </c>
      <c r="D106" s="33" t="s">
        <v>415</v>
      </c>
      <c r="E106" s="33" t="s">
        <v>374</v>
      </c>
      <c r="F106" s="33">
        <v>36</v>
      </c>
      <c r="G106" s="33" t="s">
        <v>344</v>
      </c>
      <c r="H106" s="33" t="s">
        <v>348</v>
      </c>
      <c r="I106" s="33" t="s">
        <v>341</v>
      </c>
      <c r="J106" s="33" t="s">
        <v>369</v>
      </c>
      <c r="K106" s="33" t="s">
        <v>348</v>
      </c>
      <c r="L106" s="33" t="s">
        <v>410</v>
      </c>
      <c r="M106" s="33" t="s">
        <v>372</v>
      </c>
      <c r="N106" s="33" t="s">
        <v>25</v>
      </c>
      <c r="O106" s="33"/>
      <c r="P106" s="33"/>
      <c r="Q106" s="33"/>
      <c r="R106" s="33"/>
      <c r="S106" s="33"/>
    </row>
    <row r="107" spans="1:19">
      <c r="A107" s="33" t="str">
        <f t="shared" si="1"/>
        <v>Update_Unsubscribe_From_All_Preferences_Ln000_DE__Unsubscribe_From_All_Preferences</v>
      </c>
      <c r="B107" s="34" t="str">
        <f>VLOOKUP($D107,Activities!$D:$G,3,FALSE)</f>
        <v>SQL</v>
      </c>
      <c r="C107" s="44" t="str">
        <f>VLOOKUP($D107,Activities!$D:$G,2,FALSE)</f>
        <v>Update_Unsubscribe_From_All_Preferences</v>
      </c>
      <c r="D107" s="33" t="s">
        <v>417</v>
      </c>
      <c r="E107" s="33" t="s">
        <v>363</v>
      </c>
      <c r="F107" s="33">
        <v>0</v>
      </c>
      <c r="G107" s="33" t="s">
        <v>339</v>
      </c>
      <c r="H107" s="33" t="s">
        <v>340</v>
      </c>
      <c r="I107" s="33" t="s">
        <v>341</v>
      </c>
      <c r="J107" s="33" t="s">
        <v>413</v>
      </c>
      <c r="K107" s="33" t="s">
        <v>340</v>
      </c>
      <c r="L107" s="33"/>
      <c r="M107" s="33"/>
      <c r="N107" s="33"/>
      <c r="O107" s="33"/>
      <c r="P107" s="33"/>
      <c r="Q107" s="33"/>
      <c r="R107" s="33"/>
      <c r="S107" s="33"/>
    </row>
    <row r="108" spans="1:19">
      <c r="A108" s="33" t="str">
        <f t="shared" si="1"/>
        <v>Update_Unsubscribe_From_All_Preferences_Ln022_DE__Unsubscribe_Record_W_AssociatedEmails</v>
      </c>
      <c r="B108" s="34" t="str">
        <f>VLOOKUP($D108,Activities!$D:$G,3,FALSE)</f>
        <v>SQL</v>
      </c>
      <c r="C108" s="44" t="str">
        <f>VLOOKUP($D108,Activities!$D:$G,2,FALSE)</f>
        <v>Update_Unsubscribe_From_All_Preferences</v>
      </c>
      <c r="D108" s="33" t="s">
        <v>417</v>
      </c>
      <c r="E108" s="33" t="s">
        <v>410</v>
      </c>
      <c r="F108" s="33">
        <v>22</v>
      </c>
      <c r="G108" s="33" t="s">
        <v>339</v>
      </c>
      <c r="H108" s="33" t="s">
        <v>12</v>
      </c>
      <c r="I108" s="33" t="s">
        <v>341</v>
      </c>
      <c r="J108" s="33" t="s">
        <v>345</v>
      </c>
      <c r="K108" s="33" t="s">
        <v>346</v>
      </c>
      <c r="L108" s="33"/>
      <c r="M108" s="33"/>
      <c r="N108" s="33"/>
      <c r="O108" s="33"/>
      <c r="P108" s="33"/>
      <c r="Q108" s="33"/>
      <c r="R108" s="33"/>
      <c r="S108" s="33"/>
    </row>
    <row r="109" spans="1:19">
      <c r="A109" s="33" t="str">
        <f t="shared" si="1"/>
        <v>Update_Unsubscribe_From_All_Preferences_Ln023_SDE__ContactPointEmail_Salesforce_5</v>
      </c>
      <c r="B109" s="34" t="str">
        <f>VLOOKUP($D109,Activities!$D:$G,3,FALSE)</f>
        <v>SQL</v>
      </c>
      <c r="C109" s="44" t="str">
        <f>VLOOKUP($D109,Activities!$D:$G,2,FALSE)</f>
        <v>Update_Unsubscribe_From_All_Preferences</v>
      </c>
      <c r="D109" s="33" t="s">
        <v>417</v>
      </c>
      <c r="E109" s="33" t="s">
        <v>347</v>
      </c>
      <c r="F109" s="33">
        <v>23</v>
      </c>
      <c r="G109" s="33" t="s">
        <v>344</v>
      </c>
      <c r="H109" s="33" t="s">
        <v>348</v>
      </c>
      <c r="I109" s="33" t="s">
        <v>341</v>
      </c>
      <c r="J109" s="33" t="s">
        <v>349</v>
      </c>
      <c r="K109" s="33" t="s">
        <v>348</v>
      </c>
      <c r="L109" s="33" t="s">
        <v>410</v>
      </c>
      <c r="M109" s="33" t="s">
        <v>354</v>
      </c>
      <c r="N109" s="33" t="s">
        <v>354</v>
      </c>
      <c r="O109" s="33"/>
      <c r="P109" s="33"/>
      <c r="Q109" s="33"/>
      <c r="R109" s="33"/>
      <c r="S109" s="33"/>
    </row>
    <row r="110" spans="1:19">
      <c r="A110" s="33" t="str">
        <f t="shared" si="1"/>
        <v>Update_Unsubscribe_From_All_Preferences_Ln025_SDE__Contact_Salesforce_5</v>
      </c>
      <c r="B110" s="34" t="str">
        <f>VLOOKUP($D110,Activities!$D:$G,3,FALSE)</f>
        <v>SQL</v>
      </c>
      <c r="C110" s="44" t="str">
        <f>VLOOKUP($D110,Activities!$D:$G,2,FALSE)</f>
        <v>Update_Unsubscribe_From_All_Preferences</v>
      </c>
      <c r="D110" s="33" t="s">
        <v>417</v>
      </c>
      <c r="E110" s="33" t="s">
        <v>374</v>
      </c>
      <c r="F110" s="33">
        <v>25</v>
      </c>
      <c r="G110" s="33" t="s">
        <v>344</v>
      </c>
      <c r="H110" s="33" t="s">
        <v>348</v>
      </c>
      <c r="I110" s="33" t="s">
        <v>341</v>
      </c>
      <c r="J110" s="33" t="s">
        <v>369</v>
      </c>
      <c r="K110" s="33" t="s">
        <v>348</v>
      </c>
      <c r="L110" s="33" t="s">
        <v>347</v>
      </c>
      <c r="M110" s="33" t="s">
        <v>372</v>
      </c>
      <c r="N110" s="33" t="s">
        <v>351</v>
      </c>
      <c r="O110" s="33"/>
      <c r="P110" s="33"/>
      <c r="Q110" s="33"/>
      <c r="R110" s="33"/>
      <c r="S110" s="33"/>
    </row>
    <row r="111" spans="1:19">
      <c r="A111" s="33" t="str">
        <f t="shared" si="1"/>
        <v>Update_Unsubscribe_From_All_Preferences_Ln026_SDE__Lead_Salesforce_5</v>
      </c>
      <c r="B111" s="34" t="str">
        <f>VLOOKUP($D111,Activities!$D:$G,3,FALSE)</f>
        <v>SQL</v>
      </c>
      <c r="C111" s="44" t="str">
        <f>VLOOKUP($D111,Activities!$D:$G,2,FALSE)</f>
        <v>Update_Unsubscribe_From_All_Preferences</v>
      </c>
      <c r="D111" s="33" t="s">
        <v>417</v>
      </c>
      <c r="E111" s="33" t="s">
        <v>371</v>
      </c>
      <c r="F111" s="33">
        <v>26</v>
      </c>
      <c r="G111" s="33" t="s">
        <v>344</v>
      </c>
      <c r="H111" s="33" t="s">
        <v>348</v>
      </c>
      <c r="I111" s="33" t="s">
        <v>341</v>
      </c>
      <c r="J111" s="33" t="s">
        <v>369</v>
      </c>
      <c r="K111" s="33" t="s">
        <v>348</v>
      </c>
      <c r="L111" s="33" t="s">
        <v>347</v>
      </c>
      <c r="M111" s="33" t="s">
        <v>372</v>
      </c>
      <c r="N111" s="33" t="s">
        <v>351</v>
      </c>
      <c r="O111" s="33"/>
      <c r="P111" s="33"/>
      <c r="Q111" s="33"/>
      <c r="R111" s="33"/>
      <c r="S111" s="33"/>
    </row>
    <row r="112" spans="1:19">
      <c r="A112" s="33" t="str">
        <f t="shared" si="1"/>
        <v>Add_Unsubscribes_To_Audit_Preferences_From_Unsubscribe_From_All_Ln000_DE__Audit_Preferences</v>
      </c>
      <c r="B112" s="34" t="str">
        <f>VLOOKUP($D112,Activities!$D:$G,3,FALSE)</f>
        <v>SQL</v>
      </c>
      <c r="C112" s="44" t="str">
        <f>VLOOKUP($D112,Activities!$D:$G,2,FALSE)</f>
        <v>Add_Unsubscribes_To_Audit_Preferences_From_Unsubscribe_From_All</v>
      </c>
      <c r="D112" s="33" t="s">
        <v>418</v>
      </c>
      <c r="E112" s="14" t="s">
        <v>367</v>
      </c>
      <c r="F112" s="33">
        <v>0</v>
      </c>
      <c r="G112" s="33" t="s">
        <v>339</v>
      </c>
      <c r="H112" s="33" t="s">
        <v>340</v>
      </c>
      <c r="I112" s="33" t="s">
        <v>341</v>
      </c>
      <c r="J112" s="33" t="s">
        <v>416</v>
      </c>
      <c r="K112" s="33" t="s">
        <v>340</v>
      </c>
      <c r="L112" s="33"/>
      <c r="M112" s="33"/>
      <c r="N112" s="33"/>
      <c r="O112" s="33"/>
      <c r="P112" s="33"/>
      <c r="Q112" s="33"/>
      <c r="R112" s="33"/>
      <c r="S112" s="33"/>
    </row>
    <row r="113" spans="1:19">
      <c r="A113" s="33" t="str">
        <f t="shared" si="1"/>
        <v>Add_Unsubscribes_To_Audit_Preferences_From_Unsubscribe_From_All_Ln028_DE__Unsubscribe_Record_W_AssociatedEmails</v>
      </c>
      <c r="B113" s="34" t="str">
        <f>VLOOKUP($D113,Activities!$D:$G,3,FALSE)</f>
        <v>SQL</v>
      </c>
      <c r="C113" s="44" t="str">
        <f>VLOOKUP($D113,Activities!$D:$G,2,FALSE)</f>
        <v>Add_Unsubscribes_To_Audit_Preferences_From_Unsubscribe_From_All</v>
      </c>
      <c r="D113" s="33" t="s">
        <v>418</v>
      </c>
      <c r="E113" s="33" t="s">
        <v>410</v>
      </c>
      <c r="F113" s="33">
        <v>28</v>
      </c>
      <c r="G113" s="33" t="s">
        <v>339</v>
      </c>
      <c r="H113" s="33" t="s">
        <v>12</v>
      </c>
      <c r="I113" s="33" t="s">
        <v>341</v>
      </c>
      <c r="J113" s="33" t="s">
        <v>345</v>
      </c>
      <c r="K113" s="33" t="s">
        <v>346</v>
      </c>
      <c r="L113" s="33"/>
      <c r="M113" s="33"/>
      <c r="N113" s="33"/>
      <c r="O113" s="33"/>
      <c r="P113" s="33"/>
      <c r="Q113" s="33"/>
      <c r="R113" s="33"/>
      <c r="S113" s="33"/>
    </row>
    <row r="114" spans="1:19">
      <c r="A114" s="33" t="str">
        <f t="shared" si="1"/>
        <v>Add_Unsubscribes_To_Audit_Preferences_From_Unsubscribe_From_All_Ln029_SDE__ContactPointEmail_Salesforce_5</v>
      </c>
      <c r="B114" s="34" t="str">
        <f>VLOOKUP($D114,Activities!$D:$G,3,FALSE)</f>
        <v>SQL</v>
      </c>
      <c r="C114" s="44" t="str">
        <f>VLOOKUP($D114,Activities!$D:$G,2,FALSE)</f>
        <v>Add_Unsubscribes_To_Audit_Preferences_From_Unsubscribe_From_All</v>
      </c>
      <c r="D114" s="33" t="s">
        <v>418</v>
      </c>
      <c r="E114" s="33" t="s">
        <v>347</v>
      </c>
      <c r="F114" s="33">
        <v>29</v>
      </c>
      <c r="G114" s="33" t="s">
        <v>344</v>
      </c>
      <c r="H114" s="33" t="s">
        <v>348</v>
      </c>
      <c r="I114" s="33" t="s">
        <v>341</v>
      </c>
      <c r="J114" s="33" t="s">
        <v>349</v>
      </c>
      <c r="K114" s="33" t="s">
        <v>348</v>
      </c>
      <c r="L114" s="33" t="s">
        <v>410</v>
      </c>
      <c r="M114" s="33" t="s">
        <v>354</v>
      </c>
      <c r="N114" s="33" t="s">
        <v>354</v>
      </c>
      <c r="O114" s="33"/>
      <c r="P114" s="33"/>
      <c r="Q114" s="33"/>
      <c r="R114" s="33"/>
      <c r="S114" s="33"/>
    </row>
    <row r="115" spans="1:19">
      <c r="A115" s="33" t="str">
        <f t="shared" si="1"/>
        <v>Add_Unsubscribes_To_Audit_Preferences_From_Unsubscribe_From_All_Ln031_SDE__Contact_Salesforce_5</v>
      </c>
      <c r="B115" s="34" t="str">
        <f>VLOOKUP($D115,Activities!$D:$G,3,FALSE)</f>
        <v>SQL</v>
      </c>
      <c r="C115" s="44" t="str">
        <f>VLOOKUP($D115,Activities!$D:$G,2,FALSE)</f>
        <v>Add_Unsubscribes_To_Audit_Preferences_From_Unsubscribe_From_All</v>
      </c>
      <c r="D115" s="33" t="s">
        <v>418</v>
      </c>
      <c r="E115" s="33" t="s">
        <v>374</v>
      </c>
      <c r="F115" s="33">
        <v>31</v>
      </c>
      <c r="G115" s="33" t="s">
        <v>344</v>
      </c>
      <c r="H115" s="33" t="s">
        <v>348</v>
      </c>
      <c r="I115" s="33" t="s">
        <v>341</v>
      </c>
      <c r="J115" s="33" t="s">
        <v>369</v>
      </c>
      <c r="K115" s="33" t="s">
        <v>348</v>
      </c>
      <c r="L115" s="33" t="s">
        <v>347</v>
      </c>
      <c r="M115" s="33" t="s">
        <v>372</v>
      </c>
      <c r="N115" s="33" t="s">
        <v>351</v>
      </c>
      <c r="O115" s="33"/>
      <c r="P115" s="33"/>
      <c r="Q115" s="33"/>
      <c r="R115" s="33"/>
      <c r="S115" s="33"/>
    </row>
    <row r="116" spans="1:19">
      <c r="A116" s="33" t="str">
        <f t="shared" si="1"/>
        <v>Add_Unsubscribes_To_Audit_Preferences_From_Unsubscribe_From_All_Ln033_SDE__Lead_Salesforce_5</v>
      </c>
      <c r="B116" s="34" t="str">
        <f>VLOOKUP($D116,Activities!$D:$G,3,FALSE)</f>
        <v>SQL</v>
      </c>
      <c r="C116" s="44" t="str">
        <f>VLOOKUP($D116,Activities!$D:$G,2,FALSE)</f>
        <v>Add_Unsubscribes_To_Audit_Preferences_From_Unsubscribe_From_All</v>
      </c>
      <c r="D116" s="33" t="s">
        <v>418</v>
      </c>
      <c r="E116" s="33" t="s">
        <v>371</v>
      </c>
      <c r="F116" s="33">
        <v>33</v>
      </c>
      <c r="G116" s="33" t="s">
        <v>344</v>
      </c>
      <c r="H116" s="33" t="s">
        <v>348</v>
      </c>
      <c r="I116" s="33" t="s">
        <v>341</v>
      </c>
      <c r="J116" s="33" t="s">
        <v>369</v>
      </c>
      <c r="K116" s="33" t="s">
        <v>348</v>
      </c>
      <c r="L116" s="33" t="s">
        <v>347</v>
      </c>
      <c r="M116" s="33" t="s">
        <v>372</v>
      </c>
      <c r="N116" s="33" t="s">
        <v>351</v>
      </c>
      <c r="O116" s="33"/>
      <c r="P116" s="33"/>
      <c r="Q116" s="33"/>
      <c r="R116" s="33"/>
      <c r="S116" s="33"/>
    </row>
    <row r="117" spans="1:19">
      <c r="A117" s="33" t="str">
        <f t="shared" si="1"/>
        <v>Add 1-Click_Unsubscribe_To_RecordKeeper_Ln000_DE__ConsentUpdates_Recordkeeper</v>
      </c>
      <c r="B117" s="34" t="str">
        <f>VLOOKUP($D117,Activities!$D:$G,3,FALSE)</f>
        <v>SQL</v>
      </c>
      <c r="C117" s="44" t="str">
        <f>VLOOKUP($D117,Activities!$D:$G,2,FALSE)</f>
        <v>Add 1-Click_Unsubscribe_To_RecordKeeper</v>
      </c>
      <c r="D117" s="33" t="s">
        <v>419</v>
      </c>
      <c r="E117" s="14" t="s">
        <v>376</v>
      </c>
      <c r="F117" s="33">
        <v>0</v>
      </c>
      <c r="G117" s="33" t="s">
        <v>339</v>
      </c>
      <c r="H117" s="33" t="s">
        <v>340</v>
      </c>
      <c r="I117" s="33" t="s">
        <v>341</v>
      </c>
      <c r="J117" s="33" t="s">
        <v>416</v>
      </c>
      <c r="K117" s="33" t="s">
        <v>340</v>
      </c>
      <c r="L117" s="33"/>
      <c r="M117" s="33"/>
      <c r="N117" s="33"/>
      <c r="O117" s="33"/>
      <c r="P117" s="33"/>
      <c r="Q117" s="33"/>
      <c r="R117" s="33"/>
      <c r="S117" s="33"/>
    </row>
    <row r="118" spans="1:19">
      <c r="A118" s="33" t="str">
        <f t="shared" si="1"/>
        <v>Add 1-Click_Unsubscribe_To_RecordKeeper_Ln027_DE__Unsubscribe_Record_W_AssociatedEmails</v>
      </c>
      <c r="B118" s="34" t="str">
        <f>VLOOKUP($D118,Activities!$D:$G,3,FALSE)</f>
        <v>SQL</v>
      </c>
      <c r="C118" s="44" t="str">
        <f>VLOOKUP($D118,Activities!$D:$G,2,FALSE)</f>
        <v>Add 1-Click_Unsubscribe_To_RecordKeeper</v>
      </c>
      <c r="D118" s="33" t="s">
        <v>419</v>
      </c>
      <c r="E118" s="33" t="s">
        <v>410</v>
      </c>
      <c r="F118" s="33">
        <v>27</v>
      </c>
      <c r="G118" s="33" t="s">
        <v>339</v>
      </c>
      <c r="H118" s="33" t="s">
        <v>12</v>
      </c>
      <c r="I118" s="33" t="s">
        <v>341</v>
      </c>
      <c r="J118" s="33" t="s">
        <v>345</v>
      </c>
      <c r="K118" s="33" t="s">
        <v>346</v>
      </c>
      <c r="L118" s="33"/>
      <c r="M118" s="33"/>
      <c r="N118" s="33"/>
      <c r="O118" s="33"/>
      <c r="P118" s="33"/>
      <c r="Q118" s="33"/>
      <c r="R118" s="33"/>
      <c r="S118" s="33"/>
    </row>
    <row r="119" spans="1:19">
      <c r="A119" s="33" t="str">
        <f t="shared" si="1"/>
        <v>Add 1-Click_Unsubscribe_To_RecordKeeper_Ln028_DE__Unsubscriber_Preferences_Email</v>
      </c>
      <c r="B119" s="34" t="str">
        <f>VLOOKUP($D119,Activities!$D:$G,3,FALSE)</f>
        <v>SQL</v>
      </c>
      <c r="C119" s="44" t="str">
        <f>VLOOKUP($D119,Activities!$D:$G,2,FALSE)</f>
        <v>Add 1-Click_Unsubscribe_To_RecordKeeper</v>
      </c>
      <c r="D119" s="33" t="s">
        <v>419</v>
      </c>
      <c r="E119" s="33" t="s">
        <v>383</v>
      </c>
      <c r="F119" s="33">
        <v>28</v>
      </c>
      <c r="G119" s="33" t="s">
        <v>339</v>
      </c>
      <c r="H119" s="33" t="s">
        <v>348</v>
      </c>
      <c r="I119" s="33" t="s">
        <v>341</v>
      </c>
      <c r="J119" s="33" t="s">
        <v>349</v>
      </c>
      <c r="K119" s="33" t="s">
        <v>348</v>
      </c>
      <c r="L119" s="33" t="s">
        <v>410</v>
      </c>
      <c r="M119" s="33" t="s">
        <v>354</v>
      </c>
      <c r="N119" s="33" t="s">
        <v>354</v>
      </c>
      <c r="O119" s="33"/>
      <c r="P119" s="33"/>
      <c r="Q119" s="33"/>
      <c r="R119" s="33"/>
      <c r="S119" s="33"/>
    </row>
    <row r="120" spans="1:19">
      <c r="A120" s="33" t="str">
        <f t="shared" si="1"/>
        <v>Add 1-Click_Unsubscribe_To_RecordKeeper_Ln030_SDE__Lead_Salesforce_5</v>
      </c>
      <c r="B120" s="34" t="str">
        <f>VLOOKUP($D120,Activities!$D:$G,3,FALSE)</f>
        <v>SQL</v>
      </c>
      <c r="C120" s="44" t="str">
        <f>VLOOKUP($D120,Activities!$D:$G,2,FALSE)</f>
        <v>Add 1-Click_Unsubscribe_To_RecordKeeper</v>
      </c>
      <c r="D120" s="33" t="s">
        <v>419</v>
      </c>
      <c r="E120" s="33" t="s">
        <v>371</v>
      </c>
      <c r="F120" s="33">
        <v>30</v>
      </c>
      <c r="G120" s="33" t="s">
        <v>344</v>
      </c>
      <c r="H120" s="33" t="s">
        <v>348</v>
      </c>
      <c r="I120" s="33" t="s">
        <v>341</v>
      </c>
      <c r="J120" s="33" t="s">
        <v>369</v>
      </c>
      <c r="K120" s="33" t="s">
        <v>348</v>
      </c>
      <c r="L120" s="33" t="s">
        <v>410</v>
      </c>
      <c r="M120" s="33" t="s">
        <v>372</v>
      </c>
      <c r="N120" s="33" t="s">
        <v>25</v>
      </c>
      <c r="O120" s="33"/>
      <c r="P120" s="33"/>
      <c r="Q120" s="33"/>
      <c r="R120" s="33"/>
      <c r="S120" s="33"/>
    </row>
    <row r="121" spans="1:19">
      <c r="A121" s="33" t="str">
        <f t="shared" si="1"/>
        <v>Add 1-Click_Unsubscribe_To_RecordKeeper_Ln032_SDR__Contact_Salesforce_5</v>
      </c>
      <c r="B121" s="34" t="str">
        <f>VLOOKUP($D121,Activities!$D:$G,3,FALSE)</f>
        <v>SQL</v>
      </c>
      <c r="C121" s="44" t="str">
        <f>VLOOKUP($D121,Activities!$D:$G,2,FALSE)</f>
        <v>Add 1-Click_Unsubscribe_To_RecordKeeper</v>
      </c>
      <c r="D121" s="33" t="s">
        <v>419</v>
      </c>
      <c r="E121" s="33" t="s">
        <v>374</v>
      </c>
      <c r="F121" s="33">
        <v>32</v>
      </c>
      <c r="G121" s="33" t="s">
        <v>420</v>
      </c>
      <c r="H121" s="33" t="s">
        <v>348</v>
      </c>
      <c r="I121" s="33" t="s">
        <v>341</v>
      </c>
      <c r="J121" s="33" t="s">
        <v>369</v>
      </c>
      <c r="K121" s="33" t="s">
        <v>348</v>
      </c>
      <c r="L121" s="33" t="s">
        <v>410</v>
      </c>
      <c r="M121" s="33" t="s">
        <v>372</v>
      </c>
      <c r="N121" s="33" t="s">
        <v>25</v>
      </c>
      <c r="O121" s="33"/>
      <c r="P121" s="33"/>
      <c r="Q121" s="33"/>
      <c r="R121" s="33"/>
      <c r="S121" s="33"/>
    </row>
    <row r="122" spans="1:19">
      <c r="A122" s="33" t="str">
        <f t="shared" si="1"/>
        <v>Consent_Status_Pending_Ln000_DE__Consent_Status_Pending</v>
      </c>
      <c r="B122" s="34" t="str">
        <f>VLOOKUP($D122,Activities!$D:$G,3,FALSE)</f>
        <v>SQL</v>
      </c>
      <c r="C122" s="44" t="str">
        <f>VLOOKUP($D122,Activities!$D:$G,2,FALSE)</f>
        <v>Consent_Status_Pending</v>
      </c>
      <c r="D122" s="33" t="s">
        <v>421</v>
      </c>
      <c r="E122" s="14" t="s">
        <v>422</v>
      </c>
      <c r="F122" s="33">
        <v>0</v>
      </c>
      <c r="G122" s="33" t="s">
        <v>339</v>
      </c>
      <c r="H122" s="33" t="s">
        <v>340</v>
      </c>
      <c r="I122" s="33" t="s">
        <v>341</v>
      </c>
      <c r="J122" s="33" t="s">
        <v>423</v>
      </c>
      <c r="K122" s="33" t="s">
        <v>340</v>
      </c>
      <c r="L122" s="33"/>
      <c r="M122" s="33"/>
      <c r="N122" s="33"/>
      <c r="O122" s="33"/>
      <c r="P122" s="33"/>
      <c r="Q122" s="33"/>
      <c r="R122" s="33"/>
      <c r="S122" s="33"/>
    </row>
    <row r="123" spans="1:19">
      <c r="A123" s="33" t="str">
        <f t="shared" si="1"/>
        <v>Consent_Status_Pending_Ln008_DE__Centralized_Form_Processor_DE</v>
      </c>
      <c r="B123" s="34" t="str">
        <f>VLOOKUP($D123,Activities!$D:$G,3,FALSE)</f>
        <v>SQL</v>
      </c>
      <c r="C123" s="44" t="str">
        <f>VLOOKUP($D123,Activities!$D:$G,2,FALSE)</f>
        <v>Consent_Status_Pending</v>
      </c>
      <c r="D123" s="33" t="s">
        <v>421</v>
      </c>
      <c r="E123" s="33" t="s">
        <v>24</v>
      </c>
      <c r="F123" s="33">
        <v>8</v>
      </c>
      <c r="G123" s="33" t="s">
        <v>339</v>
      </c>
      <c r="H123" s="33" t="s">
        <v>12</v>
      </c>
      <c r="I123" s="33" t="s">
        <v>341</v>
      </c>
      <c r="J123" s="33" t="s">
        <v>345</v>
      </c>
      <c r="K123" s="33" t="s">
        <v>346</v>
      </c>
      <c r="L123" s="33"/>
      <c r="M123" s="33"/>
      <c r="N123" s="33"/>
      <c r="O123" s="33"/>
      <c r="P123" s="33"/>
      <c r="Q123" s="33"/>
      <c r="R123" s="33"/>
      <c r="S123" s="33"/>
    </row>
    <row r="124" spans="1:19">
      <c r="A124" s="33" t="str">
        <f t="shared" si="1"/>
        <v>Consent_Status_Pending_Ln010_SDE__KPMG_Individual_Firm_Details__c_Salesforce_3</v>
      </c>
      <c r="B124" s="34" t="str">
        <f>VLOOKUP($D124,Activities!$D:$G,3,FALSE)</f>
        <v>SQL</v>
      </c>
      <c r="C124" s="44" t="str">
        <f>VLOOKUP($D124,Activities!$D:$G,2,FALSE)</f>
        <v>Consent_Status_Pending</v>
      </c>
      <c r="D124" s="33" t="s">
        <v>421</v>
      </c>
      <c r="E124" s="33" t="s">
        <v>343</v>
      </c>
      <c r="F124" s="33">
        <v>10</v>
      </c>
      <c r="G124" s="33" t="s">
        <v>344</v>
      </c>
      <c r="H124" s="33" t="s">
        <v>348</v>
      </c>
      <c r="I124" s="33" t="s">
        <v>341</v>
      </c>
      <c r="J124" s="33" t="s">
        <v>424</v>
      </c>
      <c r="K124" s="33" t="s">
        <v>348</v>
      </c>
      <c r="L124" s="33" t="s">
        <v>24</v>
      </c>
      <c r="M124" s="33" t="s">
        <v>357</v>
      </c>
      <c r="N124" s="33" t="s">
        <v>25</v>
      </c>
      <c r="O124" s="33"/>
      <c r="P124" s="33"/>
      <c r="Q124" s="33"/>
      <c r="R124" s="33"/>
      <c r="S124" s="33"/>
    </row>
    <row r="125" spans="1:19">
      <c r="A125" s="33" t="str">
        <f t="shared" si="1"/>
        <v>Consent_Status_Pending_Ln010_SDE__KPMG_Individual_Firm_Details__c_Salesforce_3</v>
      </c>
      <c r="B125" s="34" t="str">
        <f>VLOOKUP($D125,Activities!$D:$G,3,FALSE)</f>
        <v>SQL</v>
      </c>
      <c r="C125" s="44" t="str">
        <f>VLOOKUP($D125,Activities!$D:$G,2,FALSE)</f>
        <v>Consent_Status_Pending</v>
      </c>
      <c r="D125" s="33" t="s">
        <v>421</v>
      </c>
      <c r="E125" s="33" t="s">
        <v>343</v>
      </c>
      <c r="F125" s="33">
        <v>10</v>
      </c>
      <c r="G125" s="33" t="s">
        <v>344</v>
      </c>
      <c r="H125" s="33" t="s">
        <v>348</v>
      </c>
      <c r="I125" s="33" t="s">
        <v>341</v>
      </c>
      <c r="J125" s="33" t="s">
        <v>424</v>
      </c>
      <c r="K125" s="33" t="s">
        <v>348</v>
      </c>
      <c r="L125" s="33" t="s">
        <v>24</v>
      </c>
      <c r="M125" s="33" t="s">
        <v>350</v>
      </c>
      <c r="N125" s="33" t="s">
        <v>25</v>
      </c>
      <c r="O125" s="33"/>
      <c r="P125" s="33"/>
      <c r="Q125" s="33"/>
      <c r="R125" s="33"/>
      <c r="S125" s="33"/>
    </row>
    <row r="126" spans="1:19">
      <c r="A126" s="33"/>
      <c r="B126" s="34"/>
      <c r="C126" s="44"/>
      <c r="D126" s="33"/>
      <c r="E126" s="33"/>
      <c r="F126" s="33"/>
      <c r="G126" s="33"/>
      <c r="H126" s="33"/>
      <c r="I126" s="33"/>
      <c r="J126" s="33"/>
      <c r="K126" s="33"/>
      <c r="L126" s="33"/>
      <c r="M126" s="33"/>
      <c r="N126" s="33"/>
      <c r="O126" s="33"/>
      <c r="P126" s="33"/>
      <c r="Q126" s="33"/>
      <c r="R126" s="33"/>
      <c r="S126" s="33"/>
    </row>
    <row r="127" spans="1:19">
      <c r="A127" s="33"/>
      <c r="B127" s="34"/>
      <c r="C127" s="44"/>
      <c r="D127" s="33"/>
      <c r="E127" s="33"/>
      <c r="F127" s="33"/>
      <c r="G127" s="33"/>
      <c r="H127" s="33"/>
      <c r="I127" s="33"/>
      <c r="J127" s="33"/>
      <c r="K127" s="33"/>
      <c r="L127" s="33"/>
      <c r="M127" s="33"/>
      <c r="N127" s="33"/>
      <c r="O127" s="33"/>
      <c r="P127" s="33"/>
      <c r="Q127" s="33"/>
      <c r="R127" s="33"/>
      <c r="S127" s="33"/>
    </row>
    <row r="128" spans="1:19">
      <c r="A128" s="33"/>
      <c r="B128" s="34"/>
      <c r="C128" s="44"/>
      <c r="D128" s="33"/>
      <c r="E128" s="33"/>
      <c r="F128" s="33"/>
      <c r="G128" s="33"/>
      <c r="H128" s="33"/>
      <c r="I128" s="33"/>
      <c r="J128" s="33"/>
      <c r="K128" s="33"/>
      <c r="L128" s="33"/>
      <c r="M128" s="33"/>
      <c r="N128" s="33"/>
      <c r="O128" s="33"/>
      <c r="P128" s="33"/>
      <c r="Q128" s="33"/>
      <c r="R128" s="33"/>
      <c r="S128" s="33"/>
    </row>
    <row r="129" spans="1:19">
      <c r="A129" s="33"/>
      <c r="B129" s="34"/>
      <c r="C129" s="44"/>
      <c r="D129" s="33"/>
      <c r="E129" s="33"/>
      <c r="F129" s="33"/>
      <c r="G129" s="33"/>
      <c r="H129" s="33"/>
      <c r="I129" s="33"/>
      <c r="J129" s="33"/>
      <c r="K129" s="33"/>
      <c r="L129" s="33"/>
      <c r="M129" s="33"/>
      <c r="N129" s="33"/>
      <c r="O129" s="33"/>
      <c r="P129" s="33"/>
      <c r="Q129" s="33"/>
      <c r="R129" s="33"/>
      <c r="S129" s="33"/>
    </row>
    <row r="130" spans="1:19">
      <c r="A130" s="33"/>
      <c r="B130" s="34"/>
      <c r="C130" s="44"/>
      <c r="D130" s="33"/>
      <c r="E130" s="33"/>
      <c r="F130" s="33"/>
      <c r="G130" s="33"/>
      <c r="H130" s="33"/>
      <c r="I130" s="33"/>
      <c r="J130" s="33"/>
      <c r="K130" s="33"/>
      <c r="L130" s="33"/>
      <c r="M130" s="33"/>
      <c r="N130" s="33"/>
      <c r="O130" s="33"/>
      <c r="P130" s="33"/>
      <c r="Q130" s="33"/>
      <c r="R130" s="33"/>
      <c r="S130" s="33"/>
    </row>
    <row r="131" spans="1:19">
      <c r="A131" s="33"/>
      <c r="B131" s="34"/>
      <c r="C131" s="44"/>
      <c r="D131" s="33"/>
      <c r="E131" s="33"/>
      <c r="F131" s="33"/>
      <c r="G131" s="33"/>
      <c r="H131" s="33"/>
      <c r="I131" s="33"/>
      <c r="J131" s="33"/>
      <c r="K131" s="33"/>
      <c r="L131" s="33"/>
      <c r="M131" s="33"/>
      <c r="N131" s="33"/>
      <c r="O131" s="33"/>
      <c r="P131" s="33"/>
      <c r="Q131" s="33"/>
      <c r="R131" s="33"/>
      <c r="S131" s="33"/>
    </row>
    <row r="132" spans="1:19">
      <c r="A132" s="33"/>
      <c r="B132" s="34"/>
      <c r="C132" s="44"/>
      <c r="D132" s="33"/>
      <c r="E132" s="33"/>
      <c r="F132" s="33"/>
      <c r="G132" s="33"/>
      <c r="H132" s="33"/>
      <c r="I132" s="33"/>
      <c r="J132" s="33"/>
      <c r="K132" s="33"/>
      <c r="L132" s="33"/>
      <c r="M132" s="33"/>
      <c r="N132" s="33"/>
      <c r="O132" s="33"/>
      <c r="P132" s="33"/>
      <c r="Q132" s="33"/>
      <c r="R132" s="33"/>
      <c r="S132" s="33"/>
    </row>
    <row r="133" spans="1:19">
      <c r="A133" s="33"/>
      <c r="B133" s="34"/>
      <c r="C133" s="44"/>
      <c r="D133" s="33"/>
      <c r="E133" s="33"/>
      <c r="F133" s="33"/>
      <c r="G133" s="33"/>
      <c r="H133" s="33"/>
      <c r="I133" s="33"/>
      <c r="J133" s="33"/>
      <c r="K133" s="33"/>
      <c r="L133" s="33"/>
      <c r="M133" s="33"/>
      <c r="N133" s="33"/>
      <c r="O133" s="33"/>
      <c r="P133" s="33"/>
      <c r="Q133" s="33"/>
      <c r="R133" s="33"/>
      <c r="S133" s="33"/>
    </row>
    <row r="134" spans="1:19">
      <c r="A134" s="33"/>
      <c r="B134" s="34"/>
      <c r="C134" s="44"/>
      <c r="D134" s="33"/>
      <c r="E134" s="33"/>
      <c r="F134" s="33"/>
      <c r="G134" s="33"/>
      <c r="H134" s="33"/>
      <c r="I134" s="33"/>
      <c r="J134" s="33"/>
      <c r="K134" s="33"/>
      <c r="L134" s="33"/>
      <c r="M134" s="33"/>
      <c r="N134" s="33"/>
      <c r="O134" s="33"/>
      <c r="P134" s="33"/>
      <c r="Q134" s="33"/>
      <c r="R134" s="33"/>
      <c r="S134" s="33"/>
    </row>
    <row r="135" spans="1:19">
      <c r="A135" s="33"/>
      <c r="B135" s="34"/>
      <c r="C135" s="44"/>
      <c r="D135" s="33"/>
      <c r="E135" s="33"/>
      <c r="F135" s="33"/>
      <c r="G135" s="33"/>
      <c r="H135" s="33"/>
      <c r="I135" s="33"/>
      <c r="J135" s="33"/>
      <c r="K135" s="33"/>
      <c r="L135" s="33"/>
      <c r="M135" s="33"/>
      <c r="N135" s="33"/>
      <c r="O135" s="33"/>
      <c r="P135" s="33"/>
      <c r="Q135" s="33"/>
      <c r="R135" s="33"/>
      <c r="S135" s="33"/>
    </row>
    <row r="136" spans="1:19">
      <c r="A136" s="33"/>
      <c r="B136" s="34"/>
      <c r="C136" s="44"/>
      <c r="D136" s="33"/>
      <c r="E136" s="33"/>
      <c r="F136" s="33"/>
      <c r="G136" s="33"/>
      <c r="H136" s="33"/>
      <c r="I136" s="33"/>
      <c r="J136" s="33"/>
      <c r="K136" s="33"/>
      <c r="L136" s="33"/>
      <c r="M136" s="33"/>
      <c r="N136" s="33"/>
      <c r="O136" s="33"/>
      <c r="P136" s="33"/>
      <c r="Q136" s="33"/>
      <c r="R136" s="33"/>
      <c r="S136" s="33"/>
    </row>
    <row r="137" spans="1:19">
      <c r="A137" s="33"/>
      <c r="B137" s="34"/>
      <c r="C137" s="44"/>
      <c r="D137" s="33"/>
      <c r="E137" s="33"/>
      <c r="F137" s="33"/>
      <c r="G137" s="33"/>
      <c r="H137" s="33"/>
      <c r="I137" s="33"/>
      <c r="J137" s="33"/>
      <c r="K137" s="33"/>
      <c r="L137" s="33"/>
      <c r="M137" s="33"/>
      <c r="N137" s="33"/>
      <c r="O137" s="33"/>
      <c r="P137" s="33"/>
      <c r="Q137" s="33"/>
      <c r="R137" s="33"/>
      <c r="S137" s="33"/>
    </row>
    <row r="138" spans="1:19">
      <c r="A138" s="33"/>
      <c r="B138" s="34"/>
      <c r="C138" s="44"/>
      <c r="D138" s="33"/>
      <c r="E138" s="33"/>
      <c r="F138" s="33"/>
      <c r="G138" s="33"/>
      <c r="H138" s="33"/>
      <c r="I138" s="33"/>
      <c r="J138" s="33"/>
      <c r="K138" s="33"/>
      <c r="L138" s="33"/>
      <c r="M138" s="33"/>
      <c r="N138" s="33"/>
      <c r="O138" s="33"/>
      <c r="P138" s="33"/>
      <c r="Q138" s="33"/>
      <c r="R138" s="33"/>
      <c r="S138" s="33"/>
    </row>
    <row r="139" spans="1:19">
      <c r="A139" s="33"/>
      <c r="B139" s="34"/>
      <c r="C139" s="44"/>
      <c r="D139" s="33"/>
      <c r="E139" s="33"/>
      <c r="F139" s="33"/>
      <c r="G139" s="33"/>
      <c r="H139" s="33"/>
      <c r="I139" s="33"/>
      <c r="J139" s="33"/>
      <c r="K139" s="33"/>
      <c r="L139" s="33"/>
      <c r="M139" s="33"/>
      <c r="N139" s="33"/>
      <c r="O139" s="33"/>
      <c r="P139" s="33"/>
      <c r="Q139" s="33"/>
      <c r="R139" s="33"/>
      <c r="S139" s="33"/>
    </row>
    <row r="140" spans="1:19">
      <c r="A140" s="33"/>
      <c r="B140" s="34"/>
      <c r="C140" s="44"/>
      <c r="D140" s="33"/>
      <c r="E140" s="33"/>
      <c r="F140" s="33"/>
      <c r="G140" s="33"/>
      <c r="H140" s="33"/>
      <c r="I140" s="33"/>
      <c r="J140" s="33"/>
      <c r="K140" s="33"/>
      <c r="L140" s="33"/>
      <c r="M140" s="33"/>
      <c r="N140" s="33"/>
      <c r="O140" s="33"/>
      <c r="P140" s="33"/>
      <c r="Q140" s="33"/>
      <c r="R140" s="33"/>
      <c r="S140" s="33"/>
    </row>
    <row r="141" spans="1:19">
      <c r="A141" s="33"/>
      <c r="B141" s="34"/>
      <c r="C141" s="44"/>
      <c r="D141" s="33"/>
      <c r="E141" s="33"/>
      <c r="F141" s="33"/>
      <c r="G141" s="33"/>
      <c r="H141" s="33"/>
      <c r="I141" s="33"/>
      <c r="J141" s="33"/>
      <c r="K141" s="33"/>
      <c r="L141" s="33"/>
      <c r="M141" s="33"/>
      <c r="N141" s="33"/>
      <c r="O141" s="33"/>
      <c r="P141" s="33"/>
      <c r="Q141" s="33"/>
      <c r="R141" s="33"/>
      <c r="S141" s="33"/>
    </row>
    <row r="142" spans="1:19">
      <c r="A142" s="33"/>
      <c r="B142" s="34"/>
      <c r="C142" s="44"/>
      <c r="D142" s="33"/>
      <c r="E142" s="33"/>
      <c r="F142" s="33"/>
      <c r="G142" s="33"/>
      <c r="H142" s="33"/>
      <c r="I142" s="33"/>
      <c r="J142" s="33"/>
      <c r="K142" s="33"/>
      <c r="L142" s="33"/>
      <c r="M142" s="33"/>
      <c r="N142" s="33"/>
      <c r="O142" s="33"/>
      <c r="P142" s="33"/>
      <c r="Q142" s="33"/>
      <c r="R142" s="33"/>
      <c r="S142" s="33"/>
    </row>
    <row r="143" spans="1:19">
      <c r="A143" s="33"/>
      <c r="B143" s="34"/>
      <c r="C143" s="44"/>
      <c r="D143" s="33"/>
      <c r="E143" s="33"/>
      <c r="F143" s="33"/>
      <c r="G143" s="33"/>
      <c r="H143" s="33"/>
      <c r="I143" s="33"/>
      <c r="J143" s="33"/>
      <c r="K143" s="33"/>
      <c r="L143" s="33"/>
      <c r="M143" s="33"/>
      <c r="N143" s="33"/>
      <c r="O143" s="33"/>
      <c r="P143" s="33"/>
      <c r="Q143" s="33"/>
      <c r="R143" s="33"/>
      <c r="S143" s="33"/>
    </row>
    <row r="144" spans="1:19">
      <c r="A144" s="33"/>
      <c r="B144" s="34"/>
      <c r="C144" s="44"/>
      <c r="D144" s="33"/>
      <c r="E144" s="33"/>
      <c r="F144" s="33"/>
      <c r="G144" s="33"/>
      <c r="H144" s="33"/>
      <c r="I144" s="33"/>
      <c r="J144" s="33"/>
      <c r="K144" s="33"/>
      <c r="L144" s="33"/>
      <c r="M144" s="33"/>
      <c r="N144" s="33"/>
      <c r="O144" s="33"/>
      <c r="P144" s="33"/>
      <c r="Q144" s="33"/>
      <c r="R144" s="33"/>
      <c r="S144" s="33"/>
    </row>
    <row r="145" spans="1:19">
      <c r="A145" s="33"/>
      <c r="B145" s="34"/>
      <c r="C145" s="44"/>
      <c r="D145" s="33"/>
      <c r="E145" s="33"/>
      <c r="F145" s="33"/>
      <c r="G145" s="33"/>
      <c r="H145" s="33"/>
      <c r="I145" s="33"/>
      <c r="J145" s="33"/>
      <c r="K145" s="33"/>
      <c r="L145" s="33"/>
      <c r="M145" s="33"/>
      <c r="N145" s="33"/>
      <c r="O145" s="33"/>
      <c r="P145" s="33"/>
      <c r="Q145" s="33"/>
      <c r="R145" s="33"/>
      <c r="S145" s="33"/>
    </row>
    <row r="146" spans="1:19">
      <c r="A146" s="33"/>
      <c r="B146" s="34"/>
      <c r="C146" s="44"/>
      <c r="D146" s="33"/>
      <c r="E146" s="33"/>
      <c r="F146" s="33"/>
      <c r="G146" s="33"/>
      <c r="H146" s="33"/>
      <c r="I146" s="33"/>
      <c r="J146" s="33"/>
      <c r="K146" s="33"/>
      <c r="L146" s="33"/>
      <c r="M146" s="33"/>
      <c r="N146" s="33"/>
      <c r="O146" s="33"/>
      <c r="P146" s="33"/>
      <c r="Q146" s="33"/>
      <c r="R146" s="33"/>
      <c r="S146" s="33"/>
    </row>
    <row r="147" spans="1:19">
      <c r="A147" s="33"/>
      <c r="B147" s="34"/>
      <c r="C147" s="44"/>
      <c r="D147" s="33"/>
      <c r="E147" s="33"/>
      <c r="F147" s="33"/>
      <c r="G147" s="33"/>
      <c r="H147" s="33"/>
      <c r="I147" s="33"/>
      <c r="J147" s="33"/>
      <c r="K147" s="33"/>
      <c r="L147" s="33"/>
      <c r="M147" s="33"/>
      <c r="N147" s="33"/>
      <c r="O147" s="33"/>
      <c r="P147" s="33"/>
      <c r="Q147" s="33"/>
      <c r="R147" s="33"/>
      <c r="S147" s="33"/>
    </row>
    <row r="148" spans="1:19">
      <c r="A148" s="33"/>
      <c r="B148" s="34"/>
      <c r="C148" s="44"/>
      <c r="D148" s="33"/>
      <c r="E148" s="33"/>
      <c r="F148" s="33"/>
      <c r="G148" s="33"/>
      <c r="H148" s="33"/>
      <c r="I148" s="33"/>
      <c r="J148" s="33"/>
      <c r="K148" s="33"/>
      <c r="L148" s="33"/>
      <c r="M148" s="33"/>
      <c r="N148" s="33"/>
      <c r="O148" s="33"/>
      <c r="P148" s="33"/>
      <c r="Q148" s="33"/>
      <c r="R148" s="33"/>
      <c r="S148" s="33"/>
    </row>
    <row r="149" spans="1:19">
      <c r="A149" s="33"/>
      <c r="B149" s="34"/>
      <c r="C149" s="44"/>
      <c r="D149" s="33"/>
      <c r="E149" s="33"/>
      <c r="F149" s="33"/>
      <c r="G149" s="33"/>
      <c r="H149" s="33"/>
      <c r="I149" s="33"/>
      <c r="J149" s="33"/>
      <c r="K149" s="33"/>
      <c r="L149" s="33"/>
      <c r="M149" s="33"/>
      <c r="N149" s="33"/>
      <c r="O149" s="33"/>
      <c r="P149" s="33"/>
      <c r="Q149" s="33"/>
      <c r="R149" s="33"/>
      <c r="S149" s="33"/>
    </row>
    <row r="150" spans="1:19">
      <c r="A150" s="33"/>
      <c r="B150" s="34"/>
      <c r="C150" s="44"/>
      <c r="D150" s="33"/>
      <c r="E150" s="33"/>
      <c r="F150" s="33"/>
      <c r="G150" s="33"/>
      <c r="H150" s="33"/>
      <c r="I150" s="33"/>
      <c r="J150" s="33"/>
      <c r="K150" s="33"/>
      <c r="L150" s="33"/>
      <c r="M150" s="33"/>
      <c r="N150" s="33"/>
      <c r="O150" s="33"/>
      <c r="P150" s="33"/>
      <c r="Q150" s="33"/>
      <c r="R150" s="33"/>
      <c r="S150" s="33"/>
    </row>
    <row r="151" spans="1:19">
      <c r="A151" s="33"/>
      <c r="B151" s="34"/>
      <c r="C151" s="44"/>
      <c r="D151" s="33"/>
      <c r="E151" s="33"/>
      <c r="F151" s="33"/>
      <c r="G151" s="33"/>
      <c r="H151" s="33"/>
      <c r="I151" s="33"/>
      <c r="J151" s="33"/>
      <c r="K151" s="33"/>
      <c r="L151" s="33"/>
      <c r="M151" s="33"/>
      <c r="N151" s="33"/>
      <c r="O151" s="33"/>
      <c r="P151" s="33"/>
      <c r="Q151" s="33"/>
      <c r="R151" s="33"/>
      <c r="S151" s="33"/>
    </row>
    <row r="152" spans="1:19">
      <c r="A152" s="33"/>
      <c r="B152" s="34"/>
      <c r="C152" s="44"/>
      <c r="D152" s="33"/>
      <c r="E152" s="33"/>
      <c r="F152" s="33"/>
      <c r="G152" s="33"/>
      <c r="H152" s="33"/>
      <c r="I152" s="33"/>
      <c r="J152" s="33"/>
      <c r="K152" s="33"/>
      <c r="L152" s="33"/>
      <c r="M152" s="33"/>
      <c r="N152" s="33"/>
      <c r="O152" s="33"/>
      <c r="P152" s="33"/>
      <c r="Q152" s="33"/>
      <c r="R152" s="33"/>
      <c r="S152" s="33"/>
    </row>
    <row r="153" spans="1:19">
      <c r="A153" s="33"/>
      <c r="B153" s="34"/>
      <c r="C153" s="44"/>
      <c r="D153" s="33"/>
      <c r="E153" s="33"/>
      <c r="F153" s="33"/>
      <c r="G153" s="33"/>
      <c r="H153" s="33"/>
      <c r="I153" s="33"/>
      <c r="J153" s="33"/>
      <c r="K153" s="33"/>
      <c r="L153" s="33"/>
      <c r="M153" s="33"/>
      <c r="N153" s="33"/>
      <c r="O153" s="33"/>
      <c r="P153" s="33"/>
      <c r="Q153" s="33"/>
      <c r="R153" s="33"/>
      <c r="S153" s="33"/>
    </row>
  </sheetData>
  <autoFilter ref="B1:N122" xr:uid="{1BD07D9A-A1EF-4DCD-A7CA-441122511BFA}"/>
  <dataValidations count="1">
    <dataValidation allowBlank="1" showInputMessage="1" showErrorMessage="1" sqref="C100:E100 C1:D99 B105:E105 C101:D104 B2:B104 B106:D110 B121:B125 B111:E111 E116 B120:E120 B112:D119 C121:D1048576" xr:uid="{A6DA5CCB-F89F-482B-9796-C2374C4AFCFA}"/>
  </dataValidations>
  <pageMargins left="0.7" right="0.7" top="0.75" bottom="0.75" header="0.3" footer="0.3"/>
  <customProperties>
    <customPr name="OrphanNamesChecked" r:id="rId1"/>
  </customProperties>
  <extLst>
    <ext xmlns:x14="http://schemas.microsoft.com/office/spreadsheetml/2009/9/main" uri="{CCE6A557-97BC-4b89-ADB6-D9C93CAAB3DF}">
      <x14:dataValidations xmlns:xm="http://schemas.microsoft.com/office/excel/2006/main" count="2">
        <x14:dataValidation type="list" allowBlank="1" showInputMessage="1" showErrorMessage="1" xr:uid="{6B712898-B025-4429-8A87-986FCA1FC0A6}">
          <x14:formula1>
            <xm:f>REFERENCE!$L:$L</xm:f>
          </x14:formula1>
          <xm:sqref>D6:D9</xm:sqref>
        </x14:dataValidation>
        <x14:dataValidation type="list" allowBlank="1" showInputMessage="1" showErrorMessage="1" xr:uid="{7B884BF1-42B0-4D67-8CD3-DD2CD343849E}">
          <x14:formula1>
            <xm:f>REFERENCE!$N:$N</xm:f>
          </x14:formula1>
          <xm:sqref>D6:D9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0099F-69EA-4EB7-BBFF-A0B36E6A45E2}">
  <dimension ref="A1:AA18"/>
  <sheetViews>
    <sheetView workbookViewId="0">
      <selection activeCell="E28" sqref="E28"/>
    </sheetView>
  </sheetViews>
  <sheetFormatPr defaultRowHeight="14.5"/>
  <cols>
    <col min="1" max="1" width="7" bestFit="1" customWidth="1"/>
    <col min="2" max="2" width="31.1796875" bestFit="1" customWidth="1"/>
    <col min="3" max="3" width="16.26953125" bestFit="1" customWidth="1"/>
    <col min="4" max="4" width="45.7265625" bestFit="1" customWidth="1"/>
    <col min="5" max="5" width="59" bestFit="1" customWidth="1"/>
    <col min="6" max="6" width="52" bestFit="1" customWidth="1"/>
    <col min="7" max="7" width="11.1796875" bestFit="1" customWidth="1"/>
    <col min="8" max="8" width="7.54296875" bestFit="1" customWidth="1"/>
    <col min="9" max="9" width="12" bestFit="1" customWidth="1"/>
    <col min="10" max="10" width="10.81640625" bestFit="1" customWidth="1"/>
  </cols>
  <sheetData>
    <row r="1" spans="1:27">
      <c r="A1" s="7" t="s">
        <v>425</v>
      </c>
      <c r="B1" s="7" t="s">
        <v>426</v>
      </c>
      <c r="C1" s="7" t="s">
        <v>427</v>
      </c>
      <c r="D1" s="7" t="s">
        <v>428</v>
      </c>
      <c r="E1" s="7" t="s">
        <v>429</v>
      </c>
      <c r="F1" s="7" t="s">
        <v>430</v>
      </c>
      <c r="G1" s="7" t="s">
        <v>431</v>
      </c>
      <c r="H1" s="7" t="s">
        <v>432</v>
      </c>
      <c r="I1" s="7" t="s">
        <v>433</v>
      </c>
      <c r="J1" s="7" t="s">
        <v>434</v>
      </c>
    </row>
    <row r="2" spans="1:27" ht="16">
      <c r="A2" s="41" t="s">
        <v>435</v>
      </c>
      <c r="B2" s="41" t="s">
        <v>436</v>
      </c>
      <c r="C2" s="41" t="s">
        <v>437</v>
      </c>
      <c r="D2" s="41" t="s">
        <v>438</v>
      </c>
      <c r="E2" s="41" t="s">
        <v>439</v>
      </c>
      <c r="F2" s="41" t="s">
        <v>440</v>
      </c>
      <c r="G2" s="41" t="s">
        <v>441</v>
      </c>
      <c r="H2" s="41" t="s">
        <v>442</v>
      </c>
      <c r="I2" s="41" t="s">
        <v>443</v>
      </c>
      <c r="J2" s="41" t="s">
        <v>444</v>
      </c>
      <c r="L2" s="7"/>
    </row>
    <row r="3" spans="1:27">
      <c r="A3" s="41" t="s">
        <v>445</v>
      </c>
      <c r="B3" s="41" t="s">
        <v>188</v>
      </c>
      <c r="C3" s="41" t="s">
        <v>446</v>
      </c>
      <c r="D3" s="41" t="s">
        <v>447</v>
      </c>
      <c r="E3" s="41" t="s">
        <v>448</v>
      </c>
      <c r="F3" s="41" t="s">
        <v>449</v>
      </c>
      <c r="G3" s="41" t="s">
        <v>450</v>
      </c>
      <c r="H3" s="41" t="s">
        <v>450</v>
      </c>
      <c r="I3" s="41" t="s">
        <v>451</v>
      </c>
      <c r="J3" s="41" t="s">
        <v>452</v>
      </c>
      <c r="L3" s="33"/>
    </row>
    <row r="6" spans="1:27">
      <c r="U6" s="7"/>
    </row>
    <row r="7" spans="1:27">
      <c r="U7" s="33"/>
    </row>
    <row r="10" spans="1:27">
      <c r="O10" s="33"/>
    </row>
    <row r="11" spans="1:27">
      <c r="O11" s="33"/>
    </row>
    <row r="15" spans="1:27">
      <c r="R15" s="33"/>
      <c r="S15" s="33"/>
      <c r="T15" s="33"/>
      <c r="U15" s="33"/>
      <c r="V15" s="33"/>
      <c r="W15" s="33"/>
      <c r="X15" s="33"/>
      <c r="Y15" s="33"/>
      <c r="Z15" s="33"/>
      <c r="AA15" s="33"/>
    </row>
    <row r="17" spans="18:27">
      <c r="R17" s="33"/>
      <c r="S17" s="33"/>
      <c r="T17" s="33"/>
      <c r="U17" s="33"/>
      <c r="V17" s="33"/>
      <c r="W17" s="33"/>
      <c r="X17" s="33"/>
      <c r="Y17" s="33"/>
      <c r="Z17" s="33"/>
      <c r="AA17" s="33"/>
    </row>
    <row r="18" spans="18:27">
      <c r="R18" s="33"/>
      <c r="S18" s="33"/>
      <c r="T18" s="33"/>
      <c r="U18" s="33"/>
      <c r="V18" s="33"/>
      <c r="W18" s="33"/>
      <c r="X18" s="33"/>
      <c r="Y18" s="33"/>
      <c r="Z18" s="33"/>
      <c r="AA18" s="33"/>
    </row>
  </sheetData>
  <pageMargins left="0.7" right="0.7" top="0.75" bottom="0.75" header="0.3" footer="0.3"/>
  <customProperties>
    <customPr name="OrphanNamesChecke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DE5C-CE07-4BE7-9F6B-B55312092010}">
  <dimension ref="A1:P154"/>
  <sheetViews>
    <sheetView workbookViewId="0">
      <selection activeCell="M20" sqref="M20"/>
    </sheetView>
  </sheetViews>
  <sheetFormatPr defaultRowHeight="15" customHeight="1"/>
  <cols>
    <col min="1" max="1" width="16" bestFit="1" customWidth="1"/>
    <col min="2" max="2" width="2.26953125" style="2" customWidth="1"/>
    <col min="4" max="4" width="2.453125" customWidth="1"/>
    <col min="5" max="5" width="13.81640625" bestFit="1" customWidth="1"/>
    <col min="6" max="6" width="66" bestFit="1" customWidth="1"/>
    <col min="8" max="8" width="12.453125" customWidth="1"/>
    <col min="9" max="9" width="19.453125" bestFit="1" customWidth="1"/>
    <col min="12" max="12" width="7.1796875" bestFit="1" customWidth="1"/>
    <col min="13" max="13" width="24.26953125" bestFit="1" customWidth="1"/>
    <col min="14" max="14" width="30.81640625" bestFit="1" customWidth="1"/>
  </cols>
  <sheetData>
    <row r="1" spans="1:16" ht="14.5">
      <c r="A1" s="2"/>
    </row>
    <row r="2" spans="1:16" ht="14.5">
      <c r="A2" s="2"/>
      <c r="E2" s="2"/>
      <c r="K2" s="2"/>
      <c r="L2" s="2"/>
    </row>
    <row r="3" spans="1:16" ht="14.5">
      <c r="A3" t="s">
        <v>51</v>
      </c>
      <c r="C3" t="s">
        <v>453</v>
      </c>
      <c r="E3" s="17" t="s">
        <v>454</v>
      </c>
      <c r="F3" s="17" t="s">
        <v>327</v>
      </c>
      <c r="H3" t="s">
        <v>455</v>
      </c>
      <c r="I3" t="s">
        <v>456</v>
      </c>
      <c r="J3" t="s">
        <v>457</v>
      </c>
      <c r="L3" s="10" t="s">
        <v>40</v>
      </c>
      <c r="M3" s="10" t="s">
        <v>41</v>
      </c>
      <c r="N3" s="15" t="s">
        <v>39</v>
      </c>
    </row>
    <row r="4" spans="1:16" ht="14.5">
      <c r="A4" t="s">
        <v>70</v>
      </c>
      <c r="C4" t="s">
        <v>341</v>
      </c>
      <c r="E4" s="2" t="str" cm="1">
        <f t="array" ref="E4:E57">_xlfn._xlws.SORT(_xlfn.UNIQUE(_xlfn._xlws.FILTER(Activities[ActID],Activities[ActID]&lt;&gt;"","")))</f>
        <v>A_00.0_</v>
      </c>
      <c r="F4" s="2" t="str" cm="1">
        <f t="array" ref="F4:F52">_xlfn._xlws.SORT(_xlfn.UNIQUE(_xlfn._xlws.FILTER(Activities[ActivityName],Activities[ActivityName]&lt;&gt;"","")))</f>
        <v xml:space="preserve">
1_Click_Unsubscribe_Remove_From_Subscriber_Preferences_Email_DE</v>
      </c>
      <c r="H4" t="s">
        <v>458</v>
      </c>
      <c r="I4" t="s">
        <v>459</v>
      </c>
      <c r="L4" s="2" t="str" cm="1">
        <f t="array" ref="L4:L5">_xlfn._xlws.SORT(_xlfn.UNIQUE(_xlfn._xlws.FILTER(Automations[AutoID],Automations[AutoID]&lt;&gt;"","")))</f>
        <v>01A</v>
      </c>
      <c r="M4" t="str" cm="1">
        <f t="array" ref="M4:M153">_xlfn._xlws.SORT(_xlfn.UNIQUE(_xlfn._xlws.FILTER(Automations[Automation Name],Automations[Automation Name]&lt;&gt;"","")))</f>
        <v>Admin-AuditLogMCFTP</v>
      </c>
      <c r="N4" t="str" cm="1">
        <f t="array" ref="N4:N154">_xlfn._xlws.SORT(_xlfn.UNIQUE(_xlfn._xlws.FILTER(Automations[AutomationTitle],Automations[AutomationTitle]&lt;&gt;"","")))</f>
        <v>A0000__Admin-AuditLogMCFTP</v>
      </c>
      <c r="P4" s="2"/>
    </row>
    <row r="5" spans="1:16" ht="14.5">
      <c r="A5" t="s">
        <v>460</v>
      </c>
      <c r="C5" t="s">
        <v>461</v>
      </c>
      <c r="E5" s="2" t="str">
        <v>A09B_01.1_SQL</v>
      </c>
      <c r="F5" t="str">
        <v xml:space="preserve">
Consent-ExpiredUnsubscribeAllLinkClicks</v>
      </c>
      <c r="H5" t="s">
        <v>462</v>
      </c>
      <c r="I5" t="s">
        <v>339</v>
      </c>
      <c r="L5" s="2" t="str">
        <v>09B</v>
      </c>
      <c r="M5" t="str">
        <v>Admin-AuditTrailMaster</v>
      </c>
      <c r="N5" t="str">
        <v>A0000__Admin-AuditTrailMaster</v>
      </c>
    </row>
    <row r="6" spans="1:16" ht="14.5">
      <c r="A6" t="s">
        <v>463</v>
      </c>
      <c r="C6" t="s">
        <v>464</v>
      </c>
      <c r="E6" t="str">
        <v>A09B_02.1_SQL</v>
      </c>
      <c r="F6" t="str">
        <v xml:space="preserve">
ConsentUpdates-ExpiredUnsubscribeLinkClicks_DataExtract</v>
      </c>
      <c r="H6" t="s">
        <v>465</v>
      </c>
      <c r="I6" t="s">
        <v>466</v>
      </c>
      <c r="M6" t="str">
        <v>Admin-AutomationMetadataReport</v>
      </c>
      <c r="N6" t="str">
        <v>A0000__Admin-AutomationMetadataReport</v>
      </c>
    </row>
    <row r="7" spans="1:16" ht="14.5">
      <c r="C7" t="s">
        <v>467</v>
      </c>
      <c r="E7" t="str">
        <v>A09B_03.1_Script</v>
      </c>
      <c r="F7" t="str">
        <v xml:space="preserve">
Optin_from_Unsubscribe_From_All_Preferences</v>
      </c>
      <c r="H7" t="s">
        <v>468</v>
      </c>
      <c r="I7" t="s">
        <v>344</v>
      </c>
      <c r="M7" t="str">
        <v>Admin-CLUfrom4BUs_CwoCA</v>
      </c>
      <c r="N7" t="str">
        <v>A0000__Admin-CLUfrom4BUs_CwoCA</v>
      </c>
    </row>
    <row r="8" spans="1:16" ht="14.5">
      <c r="C8" t="s">
        <v>469</v>
      </c>
      <c r="E8" t="str">
        <v>A09B_04.1_SQL</v>
      </c>
      <c r="F8" t="str">
        <v>1_Click_Unsubscribe_IFD_OptintoOptOut</v>
      </c>
      <c r="M8" t="str">
        <v>Admin-ContactsWithoutChannelAddresses</v>
      </c>
      <c r="N8" t="str">
        <v>A0000__Admin-ContactsWithoutChannelAddresses</v>
      </c>
    </row>
    <row r="9" spans="1:16" ht="14.5">
      <c r="C9" t="s">
        <v>470</v>
      </c>
      <c r="E9" t="str">
        <v>A09B_05.1_DataExtract</v>
      </c>
      <c r="F9" t="str">
        <v>Add 1-Click_Unsubscribe_To_RecordKeeper</v>
      </c>
      <c r="M9" t="str">
        <v>Admin-CRMAHealthCheck</v>
      </c>
      <c r="N9" t="str">
        <v>A0000__Admin-CRMAHealthCheck</v>
      </c>
    </row>
    <row r="10" spans="1:16" ht="14.5">
      <c r="C10" t="s">
        <v>471</v>
      </c>
      <c r="E10" t="str">
        <v>A09B_06.1_FileTransfer</v>
      </c>
      <c r="F10" t="str">
        <v>Add_Opt_Out_To_Audit_Preferences_From_Unsubscribe_From_All_DE</v>
      </c>
      <c r="M10" t="str">
        <v>Admin-DataView_General</v>
      </c>
      <c r="N10" t="str">
        <v>A0000__Admin-DataView_General</v>
      </c>
    </row>
    <row r="11" spans="1:16" ht="14.5">
      <c r="C11" t="s">
        <v>472</v>
      </c>
      <c r="E11" t="str">
        <v>A09B_07.1_DataImport</v>
      </c>
      <c r="F11" t="str">
        <v>Add_Opt_Out_To_Audit_Preferences_From_Unsubscribe_Pref_Email</v>
      </c>
      <c r="M11" t="str">
        <v>Admin-DEArchive</v>
      </c>
      <c r="N11" t="str">
        <v>A0000__Admin-DEArchive</v>
      </c>
    </row>
    <row r="12" spans="1:16" ht="14.5">
      <c r="E12" t="str">
        <v>A09B_08.1_SQL</v>
      </c>
      <c r="F12" t="str">
        <v>Add_PrimaryEmailRecords_To_OptOut_From_Sales_Cloud</v>
      </c>
      <c r="M12" t="str">
        <v>Admin-DEsForDataCloudPOC</v>
      </c>
      <c r="N12" t="str">
        <v>A0000__Admin-DEsForDataCloudPOC</v>
      </c>
    </row>
    <row r="13" spans="1:16" ht="14.5">
      <c r="E13" t="str">
        <v>A09B_09.1_SCRIPT</v>
      </c>
      <c r="F13" t="str">
        <v>Add_Sales_Cloud_Active_To_Audit_Preferences_For_Contacts</v>
      </c>
      <c r="M13" t="str">
        <v>Admin-DEV-DataViewsDaily</v>
      </c>
      <c r="N13" t="str">
        <v>A0000__Admin-DEV-DataViewsDaily</v>
      </c>
    </row>
    <row r="14" spans="1:16" ht="14.5">
      <c r="E14" t="str">
        <v>A09B_10.1_SQL</v>
      </c>
      <c r="F14" t="str">
        <v>Add_Sales_Cloud_Active_To_Audit_Preferences_For_Leads</v>
      </c>
      <c r="M14" t="str">
        <v>Admin-EmailEngagedActivities_Cleanup</v>
      </c>
      <c r="N14" t="str">
        <v>A0000__Admin-EmailEngagedActivities_Cleanup</v>
      </c>
    </row>
    <row r="15" spans="1:16" ht="14.5">
      <c r="E15" t="str">
        <v>A09B_11.1_SQL</v>
      </c>
      <c r="F15" t="str">
        <v>Add_Sales_Cloud_Active_To_Record_Keeper</v>
      </c>
      <c r="M15" t="str">
        <v>Admin-MCUsersDeactivatedNotification</v>
      </c>
      <c r="N15" t="str">
        <v>A0000__Admin-MCUsersDeactivatedNotification</v>
      </c>
    </row>
    <row r="16" spans="1:16" ht="14.5">
      <c r="E16" t="str">
        <v>A09B_12.1_SQL</v>
      </c>
      <c r="F16" t="str">
        <v>Add_Sales_Cloud_Unsubscribe_To_RecordKeeper_Unsub_From_All_DE</v>
      </c>
      <c r="M16" t="str">
        <v>Admin-MetaDataCopy</v>
      </c>
      <c r="N16" t="str">
        <v>A0000__Admin-MetaDataCopy</v>
      </c>
    </row>
    <row r="17" spans="5:14" ht="14.5">
      <c r="E17" t="str">
        <v>A09B_13.1_SQL</v>
      </c>
      <c r="F17" t="str">
        <v>Add_Sales_Cloud_Unsubscribe_To_RecordKeeper_Unsub_Pref_Email_DE</v>
      </c>
      <c r="M17" t="str">
        <v>Admin-NonEmailEngagedActivities_Cleanup</v>
      </c>
      <c r="N17" t="str">
        <v>A0000__Admin-NonEmailEngagedActivities_Cleanup</v>
      </c>
    </row>
    <row r="18" spans="5:14" ht="14.5">
      <c r="E18" t="str">
        <v>A09B_14.1_WAIT</v>
      </c>
      <c r="F18" t="str">
        <v>Add_Unsubscribe_To_Audit_Preferences_From_Unsubscribe_Pref_Email</v>
      </c>
      <c r="M18" t="str">
        <v>Admin-NonEmailEngagedActivities-ArchivedCampaignValidateV1</v>
      </c>
      <c r="N18" t="str">
        <v>A0000__Admin-NonEmailEngagedActivities-ArchivedCampaignValidateV1</v>
      </c>
    </row>
    <row r="19" spans="5:14" ht="14.5">
      <c r="E19" t="str">
        <v>A09B_15.1_SQL</v>
      </c>
      <c r="F19" t="str">
        <v>Add_Unsubscribes_To_Audit_Preferences_From_Unsubscribe_From_All</v>
      </c>
      <c r="M19" t="str">
        <v>Admin-Reset_HeldActiveInvalidEmailMarketingCloud</v>
      </c>
      <c r="N19" t="str">
        <v>A0000__Admin-Reset_HeldActiveInvalidEmailMarketingCloud</v>
      </c>
    </row>
    <row r="20" spans="5:14" ht="14.5">
      <c r="E20" t="str">
        <v>A09B_16.1_SQL</v>
      </c>
      <c r="F20" t="str">
        <v>Consent_Status_Pending</v>
      </c>
      <c r="M20" t="str">
        <v>AutomatedDeletion-DERecycleBinItems</v>
      </c>
      <c r="N20" t="str">
        <v>A0000__AutomatedDeletion-DERecycleBinItems</v>
      </c>
    </row>
    <row r="21" spans="5:14" ht="14.5">
      <c r="E21" t="str">
        <v>A09B_17.1_SQL</v>
      </c>
      <c r="F21" t="str">
        <v>Consent_Status_Update</v>
      </c>
      <c r="M21" t="str">
        <v>AutomationName</v>
      </c>
      <c r="N21" t="str">
        <v>A0000__Campaign-General</v>
      </c>
    </row>
    <row r="22" spans="5:14" ht="14.5">
      <c r="E22" t="str">
        <v>A09B_18.1_DataExtract</v>
      </c>
      <c r="F22" t="str">
        <v>Consent-UpdateProcessedData</v>
      </c>
      <c r="M22" t="str">
        <v>Campaign-General</v>
      </c>
      <c r="N22" t="str">
        <v>A0000__CampaignMember-CampaignHierarchyRollupCampaignMemberAdditions</v>
      </c>
    </row>
    <row r="23" spans="5:14" ht="14.5">
      <c r="E23" t="str">
        <v>A09B_19.1_FileTransfer</v>
      </c>
      <c r="F23" t="str">
        <v>ConsentUpdates-ExpiredUnsubscribeLinkClicks_SubscriberImport</v>
      </c>
      <c r="M23" t="str">
        <v>CampaignMember-CampaignHierarchyRollupCampaignMemberAdditions</v>
      </c>
      <c r="N23" t="str">
        <v>A0000__CampaignMember-General</v>
      </c>
    </row>
    <row r="24" spans="5:14" ht="14.5">
      <c r="E24" t="str">
        <v>A09B_20.1_DataImport</v>
      </c>
      <c r="F24" t="str">
        <v>Delete_Optin_UnsubAll</v>
      </c>
      <c r="M24" t="str">
        <v>CampaignMember-General</v>
      </c>
      <c r="N24" t="str">
        <v>A0000__CampaignMember-SuppressedStatusesConsolidation</v>
      </c>
    </row>
    <row r="25" spans="5:14" ht="14.5">
      <c r="E25" t="str">
        <v>A09B_21.1_SQL</v>
      </c>
      <c r="F25" t="str">
        <v>DeleteFromAutoSuppressionList</v>
      </c>
      <c r="M25" t="str">
        <v>CampaignMember-SuppressedStatusesConsolidation</v>
      </c>
      <c r="N25" t="str">
        <v>A0000__CampaignMember-ValidateUpdateStatus</v>
      </c>
    </row>
    <row r="26" spans="5:14" ht="14.5">
      <c r="E26" t="str">
        <v>A09B_22.1_SQL</v>
      </c>
      <c r="F26" t="str">
        <v>Final_Flip_All_Subscriber_Unsubscribe_to_Active</v>
      </c>
      <c r="M26" t="str">
        <v>CampaignMember-ValidateUpdateStatus</v>
      </c>
      <c r="N26" t="str">
        <v>A0000__CentralizedFormProcessor-CFPDuplicateDetectedError</v>
      </c>
    </row>
    <row r="27" spans="5:14" ht="14.5">
      <c r="E27" t="str">
        <v>A09B_23.1_SQL</v>
      </c>
      <c r="F27" t="str">
        <v>Final_Flip_All_Subscriber_Unsubscribe_to_Active _o _FTP</v>
      </c>
      <c r="M27" t="str">
        <v>CentralizedFormProcessor-CFPDuplicateDetectedError</v>
      </c>
      <c r="N27" t="str">
        <v>A0000__CentralizedFormProcessor-Extract</v>
      </c>
    </row>
    <row r="28" spans="5:14" ht="14.5">
      <c r="E28" t="str">
        <v>A09B_24.1_SQL</v>
      </c>
      <c r="F28" t="str">
        <v>Final_Flip_All_Subscribers_To_Unsubscribe_To_Active</v>
      </c>
      <c r="M28" t="str">
        <v>CentralizedFormProcessor-Extract</v>
      </c>
      <c r="N28" t="str">
        <v>A0000__CentralizedFormProcessor-MasterQA</v>
      </c>
    </row>
    <row r="29" spans="5:14" ht="14.5">
      <c r="E29" t="str">
        <v>A09B_25.1_SQL</v>
      </c>
      <c r="F29" t="str">
        <v>Final_Preferences-Update_Unsubscribed_in_AllSubscribers</v>
      </c>
      <c r="M29" t="str">
        <v>CentralizedFormProcessor-MasterQA</v>
      </c>
      <c r="N29" t="str">
        <v>A0000__CentralizedFormProcessor-Update-MasterDE</v>
      </c>
    </row>
    <row r="30" spans="5:14" ht="14.5">
      <c r="E30" t="str">
        <v>A09B_26.1_SQL</v>
      </c>
      <c r="F30" t="str">
        <v>Flip_active_to_unsub_remove_from_Subscriber_PreferencesEmail</v>
      </c>
      <c r="M30" t="str">
        <v>CentralizedFormProcessor-Update-MasterDE</v>
      </c>
      <c r="N30" t="str">
        <v>A0000__Consent-Activity Based 1st Party Consent</v>
      </c>
    </row>
    <row r="31" spans="5:14" ht="14.5">
      <c r="E31" t="str">
        <v>A09B_27.1_SQL</v>
      </c>
      <c r="F31" t="str">
        <v>Flip_Active_To_Unsubscribe_For_Contact</v>
      </c>
      <c r="M31" t="str">
        <v>Consent-Activity Based 1st Party Consent</v>
      </c>
      <c r="N31" t="str">
        <v>A0000__Consent-Consent Updates</v>
      </c>
    </row>
    <row r="32" spans="5:14" ht="14.5">
      <c r="E32" t="str">
        <v>A09B_28.1_SCRIPT</v>
      </c>
      <c r="F32" t="str">
        <v>Flip_Active_To_Unsubscribe_For_Lead</v>
      </c>
      <c r="M32" t="str">
        <v>Consent-Consent Updates</v>
      </c>
      <c r="N32" t="str">
        <v>A0000__Consent-Consent_Data_Tracker</v>
      </c>
    </row>
    <row r="33" spans="5:14" ht="14.5">
      <c r="E33" t="str">
        <v>A09B_29.1_WAIT</v>
      </c>
      <c r="F33" t="str">
        <v>Flip_All_Subscriber_Unsubscribe_to_Active</v>
      </c>
      <c r="M33" t="str">
        <v>Consent-Consent_Data_Tracker</v>
      </c>
      <c r="N33" t="str">
        <v>A0000__Consent-StatusOptIn</v>
      </c>
    </row>
    <row r="34" spans="5:14" ht="14.5">
      <c r="E34" t="str">
        <v>A09B_30.1_SQL</v>
      </c>
      <c r="F34" t="str">
        <v>Flip_Unsubscribe_To_Active_For_Contact</v>
      </c>
      <c r="M34" t="str">
        <v>Consent-StatusOptIn</v>
      </c>
      <c r="N34" t="str">
        <v>A0000__Consent-StatusOptOut</v>
      </c>
    </row>
    <row r="35" spans="5:14" ht="14.5">
      <c r="E35" t="str">
        <v>A09B_31.1_DataExtract</v>
      </c>
      <c r="F35" t="str">
        <v>Flip_Unsubscribe_To_Active_For_Lead</v>
      </c>
      <c r="M35" t="str">
        <v>Consent-StatusOptOut</v>
      </c>
      <c r="N35" t="str">
        <v>A0000__Consent-UpdateAlumniOptIn</v>
      </c>
    </row>
    <row r="36" spans="5:14" ht="14.5">
      <c r="E36" t="str">
        <v>A09B_32.1_FileTransfer</v>
      </c>
      <c r="F36" t="str">
        <v>RealTimeIFDConsentStatus</v>
      </c>
      <c r="M36" t="str">
        <v>Consent-UpdateAlumniOptIn</v>
      </c>
      <c r="N36" t="str">
        <v>A0000__CRMA-ChannelExtractsDaily</v>
      </c>
    </row>
    <row r="37" spans="5:14" ht="14.5">
      <c r="E37" t="str">
        <v>A09B_33.1_DataImport</v>
      </c>
      <c r="F37" t="str">
        <v>Remaining_OptIn_Records_From_Unsubscribe</v>
      </c>
      <c r="M37" t="str">
        <v>CRMA-ChannelExtractsDaily</v>
      </c>
      <c r="N37" t="str">
        <v>A0000__CRMA-CombinedPreferencesDaily</v>
      </c>
    </row>
    <row r="38" spans="5:14" ht="14.5">
      <c r="E38" t="str">
        <v>A09B_34.1_SQL</v>
      </c>
      <c r="F38" t="str">
        <v>SQL_Preferences-Remove_duplicates_With_Associated_Email</v>
      </c>
      <c r="M38" t="str">
        <v>CRMA-CombinedPreferencesDaily</v>
      </c>
      <c r="N38" t="str">
        <v>A0000__CVENT-CventInviteExport</v>
      </c>
    </row>
    <row r="39" spans="5:14" ht="14.5">
      <c r="E39" t="str">
        <v>A09B_35.1_SQL</v>
      </c>
      <c r="F39" t="str">
        <v>Unsubscribe_Associated_Email_From_All_Subscribers</v>
      </c>
      <c r="M39" t="str">
        <v>CVENT-CventInviteExport</v>
      </c>
      <c r="N39" t="str">
        <v>A0000__CVENT-EventsCampaignLinkage</v>
      </c>
    </row>
    <row r="40" spans="5:14" ht="14.5">
      <c r="E40" t="str">
        <v>A09B_36.1_SCRIPT</v>
      </c>
      <c r="F40" t="str">
        <v>Unsubscribe_Record_W_AssociatedEmails</v>
      </c>
      <c r="M40" t="str">
        <v>CVENT-EventsCampaignLinkage</v>
      </c>
      <c r="N40" t="str">
        <v>A0000__CVENT-Import</v>
      </c>
    </row>
    <row r="41" spans="5:14" ht="14.5">
      <c r="E41" t="str">
        <v>A09B_37.1_SQL</v>
      </c>
      <c r="F41" t="str">
        <v>Unsubscribed_in_AllSubscribers_DataExtract</v>
      </c>
      <c r="M41" t="str">
        <v>CVENT-Import</v>
      </c>
      <c r="N41" t="str">
        <v>A0000__CVENT-TempLoad</v>
      </c>
    </row>
    <row r="42" spans="5:14" ht="14.5">
      <c r="E42" t="str">
        <v>A09B_38.1_SQL</v>
      </c>
      <c r="F42" t="str">
        <v>Unsubscribed_in_AllSubscribers_ImportFile</v>
      </c>
      <c r="M42" t="str">
        <v>CVENT-TempLoad</v>
      </c>
      <c r="N42" t="str">
        <v>A0000__EmailActivity-EmailEngagedActivities</v>
      </c>
    </row>
    <row r="43" spans="5:14" ht="14.5">
      <c r="E43" t="str">
        <v>A09B_39.1_SQL</v>
      </c>
      <c r="F43" t="str">
        <v>Unsubscribed_in_AllSubscribers_MoveFile_to_FTP</v>
      </c>
      <c r="M43" t="str">
        <v>EmailActivity-EmailEngagedActivities</v>
      </c>
      <c r="N43" t="str">
        <v>A0000__EmailActivity-ExtractMCFTP</v>
      </c>
    </row>
    <row r="44" spans="5:14" ht="14.5">
      <c r="E44" t="str">
        <v>A09B_40.1_DataExtract</v>
      </c>
      <c r="F44" t="str">
        <v>UnsubscribedSubscribers</v>
      </c>
      <c r="M44" t="str">
        <v>EmailActivity-ExtractMCFTP</v>
      </c>
      <c r="N44" t="str">
        <v>A0000__EmailActivity-MasterSendLog_Daily</v>
      </c>
    </row>
    <row r="45" spans="5:14" ht="14.5">
      <c r="E45" t="str">
        <v>A09B_41.1_FileTransfer</v>
      </c>
      <c r="F45" t="str">
        <v>Update_Associated_Email_From_All_Subscribers</v>
      </c>
      <c r="M45" t="str">
        <v>EmailActivity-MasterSendLog_Daily</v>
      </c>
      <c r="N45" t="str">
        <v>A0000__EmailActivity-OptOuts_LeadsContacts</v>
      </c>
    </row>
    <row r="46" spans="5:14" ht="14.5">
      <c r="E46" t="str">
        <v>A09B_42.1_DataImport</v>
      </c>
      <c r="F46" t="str">
        <v>Update_Opt_Out_To_Unsubscriber_From_All_Preferences</v>
      </c>
      <c r="M46" t="str">
        <v>EmailActivity-OptOuts_LeadsContacts</v>
      </c>
      <c r="N46" t="str">
        <v>A0000__EmailActivity-SendLogs</v>
      </c>
    </row>
    <row r="47" spans="5:14" ht="14.5">
      <c r="E47" t="str">
        <v>A09B_43.1_SQL</v>
      </c>
      <c r="F47" t="str">
        <v>Update_Opt_Out_To_Unsubscriber_Preferences_Email</v>
      </c>
      <c r="M47" t="str">
        <v>EmailActivity-SendLogs</v>
      </c>
      <c r="N47" t="str">
        <v>A0000__Everest-EmailDeliverability_MonitoringGeneral</v>
      </c>
    </row>
    <row r="48" spans="5:14" ht="14.5">
      <c r="E48" t="str">
        <v>A09B_44.1_SCRIPT</v>
      </c>
      <c r="F48" t="str">
        <v>Update_PrimaryEmailRecords_From_Unsubscribe_Record</v>
      </c>
      <c r="M48" t="str">
        <v>Everest-EmailDeliverability_MonitoringGeneral</v>
      </c>
      <c r="N48" t="str">
        <v>A0000__Everest-EmailDeliverability_UniqueEmailAddressMostRecentRunDate</v>
      </c>
    </row>
    <row r="49" spans="5:14" ht="14.5">
      <c r="E49" t="str">
        <v>A09B_45.1_SQL</v>
      </c>
      <c r="F49" t="str">
        <v>Update_Unsubscribe_From_All_Preferences</v>
      </c>
      <c r="M49" t="str">
        <v>Everest-EmailDeliverability_UniqueEmailAddressMostRecentRunDate</v>
      </c>
      <c r="N49" t="str">
        <v>A0000__ExactTarget-JobIDCampaignID</v>
      </c>
    </row>
    <row r="50" spans="5:14" ht="14.5">
      <c r="E50" t="str">
        <v>A09B_46.1_SQL</v>
      </c>
      <c r="F50" t="str">
        <v>Update_Unsubscriber_Preferences_Email</v>
      </c>
      <c r="M50" t="str">
        <v>ExactTarget-JobIDCampaignID</v>
      </c>
      <c r="N50" t="str">
        <v>A0000__InPersonEvent-AttendedTradeshowBoothScans</v>
      </c>
    </row>
    <row r="51" spans="5:14" ht="14.5">
      <c r="E51" t="str">
        <v>A09B_47.1_SQL</v>
      </c>
      <c r="F51" t="str">
        <v>VERIF - Remaining_Optin_Records_From_UnsubscribeFromAllPreferences</v>
      </c>
      <c r="M51" t="str">
        <v>InPersonEvent-AttendedTradeshowBoothScans</v>
      </c>
      <c r="N51" t="str">
        <v>A0000__LinkedIn-FilterDEs</v>
      </c>
    </row>
    <row r="52" spans="5:14" ht="14.5">
      <c r="E52" t="str">
        <v>A09B_48.1_SQL</v>
      </c>
      <c r="F52" t="str">
        <v>WAIT - 5 MIN</v>
      </c>
      <c r="M52" t="str">
        <v>LinkedIn-FilterDEs</v>
      </c>
      <c r="N52" t="str">
        <v>A0000__LinkedIn-LeadsCollection</v>
      </c>
    </row>
    <row r="53" spans="5:14" ht="14.5">
      <c r="E53" t="str">
        <v>A09B_49.1_SCRIPT</v>
      </c>
      <c r="M53" t="str">
        <v>LinkedIn-LeadsCollection</v>
      </c>
      <c r="N53" t="str">
        <v>A0000__LinkedIn-RefreshAccessToken</v>
      </c>
    </row>
    <row r="54" spans="5:14" ht="14.5">
      <c r="E54" t="str">
        <v>A09B_50.1_SQL</v>
      </c>
      <c r="M54" t="str">
        <v>LinkedIn-RefreshAccessToken</v>
      </c>
      <c r="N54" t="str">
        <v>A0000__MarketingScore-AllSources</v>
      </c>
    </row>
    <row r="55" spans="5:14" ht="14.5">
      <c r="E55" t="str">
        <v>A09B_51.1_SQL</v>
      </c>
      <c r="M55" t="str">
        <v>MarketingScore-AllSources</v>
      </c>
      <c r="N55" t="str">
        <v>A0000__Preference-AuditPreferenceEnrollmentUpdate</v>
      </c>
    </row>
    <row r="56" spans="5:14" ht="14.5">
      <c r="E56" t="str">
        <v>A09B_52.1_SCRIPT</v>
      </c>
      <c r="M56" t="str">
        <v>Preference-AuditPreferenceEnrollmentUpdate</v>
      </c>
      <c r="N56" t="str">
        <v>A0000__Reporting-Active Handraisers - KPMG US Webform Submissions</v>
      </c>
    </row>
    <row r="57" spans="5:14" ht="14.5">
      <c r="E57" t="str">
        <v>A09B_53.1_VERIF</v>
      </c>
      <c r="M57" t="str">
        <v>Reporting-Active Handraisers - KPMG US Webform Submissions</v>
      </c>
      <c r="N57" t="str">
        <v>A0000__Reporting-AllianceMarketing_UpdateMasterDE</v>
      </c>
    </row>
    <row r="58" spans="5:14" ht="15" customHeight="1">
      <c r="M58" t="str">
        <v>Reporting-AllianceMarketing_UpdateMasterDE</v>
      </c>
      <c r="N58" t="str">
        <v>A0000__Reporting-AlumniIneligibleDeceased_Import</v>
      </c>
    </row>
    <row r="59" spans="5:14" ht="15" customHeight="1">
      <c r="M59" t="str">
        <v>Reporting-AlumniIneligibleDeceased_Import</v>
      </c>
      <c r="N59" t="str">
        <v>A0000__Reporting-CCSTracker_UpdateMasterDE</v>
      </c>
    </row>
    <row r="60" spans="5:14" ht="15" customHeight="1">
      <c r="M60" t="str">
        <v>Reporting-CCSTracker_UpdateMasterDE</v>
      </c>
      <c r="N60" t="str">
        <v>A0000__Reporting-CMO-UpdateMasterDE</v>
      </c>
    </row>
    <row r="61" spans="5:14" ht="15" customHeight="1">
      <c r="M61" t="str">
        <v>Reporting-CMO-UpdateMasterDE</v>
      </c>
      <c r="N61" t="str">
        <v>A0000__Reporting-ConsumerGoodsTechnology-CGT-UpdateMasterDE</v>
      </c>
    </row>
    <row r="62" spans="5:14" ht="15" customHeight="1">
      <c r="M62" t="str">
        <v>Reporting-ConsumerGoodsTechnology-CGT-UpdateMasterDE</v>
      </c>
      <c r="N62" t="str">
        <v>A0000__Reporting-DemandWorks_UpdateMasterDE</v>
      </c>
    </row>
    <row r="63" spans="5:14" ht="15" customHeight="1">
      <c r="M63" t="str">
        <v>Reporting-DemandWorks_UpdateMasterDE</v>
      </c>
      <c r="N63" t="str">
        <v>A0000__Reporting-EloquaOrganic_UpdateMasterDE</v>
      </c>
    </row>
    <row r="64" spans="5:14" ht="15" customHeight="1">
      <c r="M64" t="str">
        <v>Reporting-EloquaOrganic_UpdateMasterDE</v>
      </c>
      <c r="N64" t="str">
        <v>A0000__Reporting-EmailEngagedActivities</v>
      </c>
    </row>
    <row r="65" spans="13:14" ht="15" customHeight="1">
      <c r="M65" t="str">
        <v>Reporting-EmailEngagedActivities</v>
      </c>
      <c r="N65" t="str">
        <v>A0000__Reporting-Entrepreneur_UpdateMasterDE</v>
      </c>
    </row>
    <row r="66" spans="13:14" ht="15" customHeight="1">
      <c r="M66" t="str">
        <v>Reporting-Entrepreneur_UpdateMasterDE</v>
      </c>
      <c r="N66" t="str">
        <v>A0000__Reporting-Erepublic_UpdateMasterDE</v>
      </c>
    </row>
    <row r="67" spans="13:14" ht="15" customHeight="1">
      <c r="M67" t="str">
        <v>Reporting-Erepublic_UpdateMasterDE</v>
      </c>
      <c r="N67" t="str">
        <v>A0000__Reporting-ExeEdu-OnlineClassCompletion</v>
      </c>
    </row>
    <row r="68" spans="13:14" ht="15" customHeight="1">
      <c r="M68" t="str">
        <v>Reporting-ExeEdu-OnlineClassCompletion</v>
      </c>
      <c r="N68" t="str">
        <v>A0000__Reporting-ExeEdu-Registration</v>
      </c>
    </row>
    <row r="69" spans="13:14" ht="15" customHeight="1">
      <c r="M69" t="str">
        <v>Reporting-ExeEdu-Registration</v>
      </c>
      <c r="N69" t="str">
        <v>A0000__Reporting-Facebook-FormSubmit</v>
      </c>
    </row>
    <row r="70" spans="13:14" ht="15" customHeight="1">
      <c r="M70" t="str">
        <v>Reporting-Facebook-FormSubmit</v>
      </c>
      <c r="N70" t="str">
        <v>A0000__Reporting-Facebook-UpdateMasterDE</v>
      </c>
    </row>
    <row r="71" spans="13:14" ht="15" customHeight="1">
      <c r="M71" t="str">
        <v>Reporting-Facebook-UpdateMasterDE</v>
      </c>
      <c r="N71" t="str">
        <v>A0000__Reporting-FileImportUT</v>
      </c>
    </row>
    <row r="72" spans="13:14" ht="15" customHeight="1">
      <c r="M72" t="str">
        <v>Reporting-FileImportUT</v>
      </c>
      <c r="N72" t="str">
        <v>A0000__Reporting-GA360Event_UpdateMasterDE</v>
      </c>
    </row>
    <row r="73" spans="13:14" ht="15" customHeight="1">
      <c r="M73" t="str">
        <v>Reporting-GA360Event_UpdateMasterDE</v>
      </c>
      <c r="N73" t="str">
        <v>A0000__Reporting-GA4DataOnboarding</v>
      </c>
    </row>
    <row r="74" spans="13:14" ht="15" customHeight="1">
      <c r="M74" t="str">
        <v>Reporting-GA4DataOnboarding</v>
      </c>
      <c r="N74" t="str">
        <v>A0000__Reporting-GA4Event_UpdateMasterDE</v>
      </c>
    </row>
    <row r="75" spans="13:14" ht="15" customHeight="1">
      <c r="M75" t="str">
        <v>Reporting-GA4Event_UpdateMasterDE</v>
      </c>
      <c r="N75" t="str">
        <v>A0000__Reporting-GA4Pageview_UpdateMasterDE</v>
      </c>
    </row>
    <row r="76" spans="13:14" ht="15" customHeight="1">
      <c r="M76" t="str">
        <v>Reporting-GA4Pageview_UpdateMasterDE</v>
      </c>
      <c r="N76" t="str">
        <v>A0000__Reporting-GlobalClicks</v>
      </c>
    </row>
    <row r="77" spans="13:14" ht="15" customHeight="1">
      <c r="M77" t="str">
        <v>Reporting-GlobalClicks</v>
      </c>
      <c r="N77" t="str">
        <v>A0000__Reporting-GoogleAds_UpdateMasterDE</v>
      </c>
    </row>
    <row r="78" spans="13:14" ht="15" customHeight="1">
      <c r="M78" t="str">
        <v>Reporting-GoogleAds_UpdateMasterDE</v>
      </c>
      <c r="N78" t="str">
        <v>A0000__Reporting-GoogleFormSubmit_UpdateMasterDE</v>
      </c>
    </row>
    <row r="79" spans="13:14" ht="15" customHeight="1">
      <c r="M79" t="str">
        <v>Reporting-GoogleFormSubmit_UpdateMasterDE</v>
      </c>
      <c r="N79" t="str">
        <v>A0000__Reporting-GovExec_UpdateMasterDE</v>
      </c>
    </row>
    <row r="80" spans="13:14" ht="15" customHeight="1">
      <c r="M80" t="str">
        <v>Reporting-GovExec_UpdateMasterDE</v>
      </c>
      <c r="N80" t="str">
        <v>A0000__Reporting-IgnitionCenter-UpdateMasterDE</v>
      </c>
    </row>
    <row r="81" spans="13:14" ht="15" customHeight="1">
      <c r="M81" t="str">
        <v>Reporting-IgnitionCenter-UpdateMasterDE</v>
      </c>
      <c r="N81" t="str">
        <v>A0000__Reporting-IntradoActivity_UpdateMasterDE</v>
      </c>
    </row>
    <row r="82" spans="13:14" ht="15" customHeight="1">
      <c r="M82" t="str">
        <v>Reporting-IntradoActivity_UpdateMasterDE</v>
      </c>
      <c r="N82" t="str">
        <v>A0000__Reporting-Intrado-Cleanup</v>
      </c>
    </row>
    <row r="83" spans="13:14" ht="15" customHeight="1">
      <c r="M83" t="str">
        <v>Reporting-Intrado-Cleanup</v>
      </c>
      <c r="N83" t="str">
        <v>A0000__Reporting-JiffleNow-UpdateMasterDE</v>
      </c>
    </row>
    <row r="84" spans="13:14" ht="15" customHeight="1">
      <c r="M84" t="str">
        <v>Reporting-JiffleNow-UpdateMasterDE</v>
      </c>
      <c r="N84" t="str">
        <v>A0000__Reporting-Leads-ClosedStatusV2</v>
      </c>
    </row>
    <row r="85" spans="13:14" ht="15" customHeight="1">
      <c r="M85" t="str">
        <v>Reporting-Leads-ClosedStatusV2</v>
      </c>
      <c r="N85" t="str">
        <v>A0000__Reporting-LinkedInLive_UpdateMasterDE</v>
      </c>
    </row>
    <row r="86" spans="13:14" ht="15" customHeight="1">
      <c r="M86" t="str">
        <v>Reporting-LinkedInLive_UpdateMasterDE</v>
      </c>
      <c r="N86" t="str">
        <v>A0000__Reporting-MeritB2B_UpdateMasterDE</v>
      </c>
    </row>
    <row r="87" spans="13:14" ht="15" customHeight="1">
      <c r="M87" t="str">
        <v>Reporting-MeritB2B_UpdateMasterDE</v>
      </c>
      <c r="N87" t="str">
        <v>A0000__Reporting-MiscellaneousDataLoads</v>
      </c>
    </row>
    <row r="88" spans="13:14" ht="15" customHeight="1">
      <c r="M88" t="str">
        <v>Reporting-MiscellaneousDataLoads</v>
      </c>
      <c r="N88" t="str">
        <v>A0000__Reporting-MKTDataQC</v>
      </c>
    </row>
    <row r="89" spans="13:14" ht="15" customHeight="1">
      <c r="M89" t="str">
        <v>Reporting-MKTDataQC</v>
      </c>
      <c r="N89" t="str">
        <v>A0000__Reporting-NAHRES_UpdateMasterDE</v>
      </c>
    </row>
    <row r="90" spans="13:14" ht="15" customHeight="1">
      <c r="M90" t="str">
        <v>Reporting-NAHRES_UpdateMasterDE</v>
      </c>
      <c r="N90" t="str">
        <v>A0000__Reporting-NHIClickTracking</v>
      </c>
    </row>
    <row r="91" spans="13:14" ht="15" customHeight="1">
      <c r="M91" t="str">
        <v>Reporting-NHIClickTracking</v>
      </c>
      <c r="N91" t="str">
        <v>A0000__Reporting-Non_Email_Engaged_Activities-8349</v>
      </c>
    </row>
    <row r="92" spans="13:14" ht="15" customHeight="1">
      <c r="M92" t="str">
        <v>Reporting-Non_Email_Engaged_Activities-8349</v>
      </c>
      <c r="N92" t="str">
        <v>A0000__Reporting-NonEmailEngagedActivityAM</v>
      </c>
    </row>
    <row r="93" spans="13:14" ht="15" customHeight="1">
      <c r="M93" t="str">
        <v>Reporting-NonEmailEngagedActivityAM</v>
      </c>
      <c r="N93" t="str">
        <v>A0000__Reporting-NonEmailEngagedActivityPM</v>
      </c>
    </row>
    <row r="94" spans="13:14" ht="15" customHeight="1">
      <c r="M94" t="str">
        <v>Reporting-NonEmailEngagedActivityPM</v>
      </c>
      <c r="N94" t="str">
        <v>A0000__Reporting-Onapsis_UpdateMasterDE</v>
      </c>
    </row>
    <row r="95" spans="13:14" ht="15" customHeight="1">
      <c r="M95" t="str">
        <v>Reporting-Onapsis_UpdateMasterDE</v>
      </c>
      <c r="N95" t="str">
        <v>A0000__Reporting-Pageview_UpdateMasterDE</v>
      </c>
    </row>
    <row r="96" spans="13:14" ht="15" customHeight="1">
      <c r="M96" t="str">
        <v>Reporting-Pageview_UpdateMasterDE</v>
      </c>
      <c r="N96" t="str">
        <v>A0000__Reporting-PIEMembership_UpdateMasterDE</v>
      </c>
    </row>
    <row r="97" spans="13:14" ht="15" customHeight="1">
      <c r="M97" t="str">
        <v>Reporting-PIEMembership_UpdateMasterDE</v>
      </c>
      <c r="N97" t="str">
        <v>A0000__Reporting-PIERegAttended_UpdateMasterDE</v>
      </c>
    </row>
    <row r="98" spans="13:14" ht="15" customHeight="1">
      <c r="M98" t="str">
        <v>Reporting-PIERegAttended_UpdateMasterDE</v>
      </c>
      <c r="N98" t="str">
        <v>A0000__Reporting-QualtricsResponses_UpdateMasterDE</v>
      </c>
    </row>
    <row r="99" spans="13:14" ht="15" customHeight="1">
      <c r="M99" t="str">
        <v>Reporting-QualtricsResponses_UpdateMasterDE</v>
      </c>
      <c r="N99" t="str">
        <v>A0000__Reporting-SmartBrief_UpdateMasterDE</v>
      </c>
    </row>
    <row r="100" spans="13:14" ht="15" customHeight="1">
      <c r="M100" t="str">
        <v>Reporting-SmartBrief_UpdateMasterDE</v>
      </c>
      <c r="N100" t="str">
        <v>A0000__Reporting-SycndContactsLeadsUsers</v>
      </c>
    </row>
    <row r="101" spans="13:14" ht="15" customHeight="1">
      <c r="M101" t="str">
        <v>Reporting-SycndContactsLeadsUsers</v>
      </c>
      <c r="N101" t="str">
        <v>A0000__Reporting-TaxBenchmarkingCompleted_Import</v>
      </c>
    </row>
    <row r="102" spans="13:14" ht="15" customHeight="1">
      <c r="M102" t="str">
        <v>Reporting-TaxBenchmarkingCompleted_Import</v>
      </c>
      <c r="N102" t="str">
        <v>A0000__Reporting-TaxBenchmarkingInprogres_UpdateMasterDE</v>
      </c>
    </row>
    <row r="103" spans="13:14" ht="15" customHeight="1">
      <c r="M103" t="str">
        <v>Reporting-TaxBenchmarkingInprogres_UpdateMasterDE</v>
      </c>
      <c r="N103" t="str">
        <v>A0000__Reporting-VendorContactDataKcentral_UpdateMasterDE</v>
      </c>
    </row>
    <row r="104" spans="13:14" ht="15" customHeight="1">
      <c r="M104" t="str">
        <v>Reporting-VendorContactDataKcentral_UpdateMasterDE</v>
      </c>
      <c r="N104" t="str">
        <v>A0000__Reporting-WebRFPGlobal_UpdateMasterDE</v>
      </c>
    </row>
    <row r="105" spans="13:14" ht="15" customHeight="1">
      <c r="M105" t="str">
        <v>Reporting-WebRFPGlobal_UpdateMasterDE</v>
      </c>
      <c r="N105" t="str">
        <v>A0000__Reporting-ZoomInfo_UpdateMasterDE</v>
      </c>
    </row>
    <row r="106" spans="13:14" ht="15" customHeight="1">
      <c r="M106" t="str">
        <v>Reporting-ZoomInfo_UpdateMasterDE</v>
      </c>
      <c r="N106" t="str">
        <v>A0000__Repoting-ExeEduCompletionActivity_UpdateMasterDE</v>
      </c>
    </row>
    <row r="107" spans="13:14" ht="15" customHeight="1">
      <c r="M107" t="str">
        <v>Repoting-ExeEduCompletionActivity_UpdateMasterDE</v>
      </c>
      <c r="N107" t="str">
        <v>A0000__Repoting-TrainingIndustry_UpdateMasterDE</v>
      </c>
    </row>
    <row r="108" spans="13:14" ht="15" customHeight="1">
      <c r="M108" t="str">
        <v>Repoting-TrainingIndustry_UpdateMasterDE</v>
      </c>
      <c r="N108" t="str">
        <v>A0000__Repoting-TrueInfluenceActivity_UpdateMasterDE</v>
      </c>
    </row>
    <row r="109" spans="13:14" ht="15" customHeight="1">
      <c r="M109" t="str">
        <v>Repoting-TrueInfluenceActivity_UpdateMasterDE</v>
      </c>
      <c r="N109" t="str">
        <v>A0000__Repoting-URLCampaignMapping</v>
      </c>
    </row>
    <row r="110" spans="13:14" ht="15" customHeight="1">
      <c r="M110" t="str">
        <v>Repoting-URLCampaignMapping</v>
      </c>
      <c r="N110" t="str">
        <v>A0000__SalesforceTaskCreation-EnrichmentTaskForActiveHandraisers</v>
      </c>
    </row>
    <row r="111" spans="13:14" ht="15" customHeight="1">
      <c r="M111" t="str">
        <v>SalesforceTaskCreation-EnrichmentTaskForActiveHandraisers</v>
      </c>
      <c r="N111" t="str">
        <v>A0000__Segmentation-Anteriad_Nurtures</v>
      </c>
    </row>
    <row r="112" spans="13:14" ht="15" customHeight="1">
      <c r="M112" t="str">
        <v>Segmentation-Anteriad_Nurtures</v>
      </c>
      <c r="N112" t="str">
        <v>A0000__Segmentation-ContactsForRejectedNurture</v>
      </c>
    </row>
    <row r="113" spans="13:14" ht="15" customHeight="1">
      <c r="M113" t="str">
        <v>Segmentation-ContactsForRejectedNurture</v>
      </c>
      <c r="N113" t="str">
        <v>A0000__Segmentation-CPEGeneral</v>
      </c>
    </row>
    <row r="114" spans="13:14" ht="15" customHeight="1">
      <c r="M114" t="str">
        <v>Segmentation-CPEGeneral</v>
      </c>
      <c r="N114" t="str">
        <v>A0000__Segmentation-ReEngage</v>
      </c>
    </row>
    <row r="115" spans="13:14" ht="15" customHeight="1">
      <c r="M115" t="str">
        <v>Segmentation-ReEngage</v>
      </c>
      <c r="N115" t="str">
        <v>A0000__Segmentation-ReEngagement_RecordsUpdate</v>
      </c>
    </row>
    <row r="116" spans="13:14" ht="15" customHeight="1">
      <c r="M116" t="str">
        <v>Segmentation-ReEngagement_RecordsUpdate</v>
      </c>
      <c r="N116" t="str">
        <v>A0000__Segmentation-Segmentation Starter ALL</v>
      </c>
    </row>
    <row r="117" spans="13:14" ht="15" customHeight="1">
      <c r="M117" t="str">
        <v>Segmentation-Segmentation Starter ALL</v>
      </c>
      <c r="N117" t="str">
        <v>A0000__Segmentation-Segmentation-TaxNewsFlash-Africa</v>
      </c>
    </row>
    <row r="118" spans="13:14" ht="15" customHeight="1">
      <c r="M118" t="str">
        <v>Segmentation-Segmentation-TaxNewsFlash-Africa</v>
      </c>
      <c r="N118" t="str">
        <v>A0000__Segmentation-Segmentation-TaxNewsFlash-AltInvTaxMattersPEHF</v>
      </c>
    </row>
    <row r="119" spans="13:14" ht="15" customHeight="1">
      <c r="M119" t="str">
        <v>Segmentation-Segmentation-TaxNewsFlash-AltInvTaxMattersPEHF</v>
      </c>
      <c r="N119" t="str">
        <v>A0000__Segmentation-Segmentation-TaxNewsFlash-Americas</v>
      </c>
    </row>
    <row r="120" spans="13:14" ht="15" customHeight="1">
      <c r="M120" t="str">
        <v>Segmentation-Segmentation-TaxNewsFlash-Americas</v>
      </c>
      <c r="N120" t="str">
        <v>A0000__Segmentation-Segmentation-TaxNewsFlash-AsiaPacific</v>
      </c>
    </row>
    <row r="121" spans="13:14" ht="15" customHeight="1">
      <c r="M121" t="str">
        <v>Segmentation-Segmentation-TaxNewsFlash-AsiaPacific</v>
      </c>
      <c r="N121" t="str">
        <v>A0000__Segmentation-Segmentation-TaxNewsFlash-BEPS</v>
      </c>
    </row>
    <row r="122" spans="13:14" ht="15" customHeight="1">
      <c r="M122" t="str">
        <v>Segmentation-Segmentation-TaxNewsFlash-BEPS</v>
      </c>
      <c r="N122" t="str">
        <v>A0000__Segmentation-Segmentation-TaxNewsFlash-BEPSTransferPricingCombined</v>
      </c>
    </row>
    <row r="123" spans="13:14" ht="15" customHeight="1">
      <c r="M123" t="str">
        <v>Segmentation-Segmentation-TaxNewsFlash-BEPSTransferPricingCombined</v>
      </c>
      <c r="N123" t="str">
        <v>A0000__Segmentation-Segmentation-TaxNewsFlash-Cooperatives</v>
      </c>
    </row>
    <row r="124" spans="13:14" ht="15" customHeight="1">
      <c r="M124" t="str">
        <v>Segmentation-Segmentation-TaxNewsFlash-Cooperatives</v>
      </c>
      <c r="N124" t="str">
        <v>A0000__Segmentation-Segmentation-TaxNewsFlash-DigitalEconomy</v>
      </c>
    </row>
    <row r="125" spans="13:14" ht="15" customHeight="1">
      <c r="M125" t="str">
        <v>Segmentation-Segmentation-TaxNewsFlash-DigitalEconomy</v>
      </c>
      <c r="N125" t="str">
        <v>A0000__Segmentation-Segmentation-TaxNewsFlash-DigitalizedEconomyIndirectTaxCombined</v>
      </c>
    </row>
    <row r="126" spans="13:14" ht="15" customHeight="1">
      <c r="M126" t="str">
        <v>Segmentation-Segmentation-TaxNewsFlash-DigitalizedEconomyIndirectTaxCombined</v>
      </c>
      <c r="N126" t="str">
        <v>A0000__Segmentation-Segmentation-TaxNewsFlash-Europe</v>
      </c>
    </row>
    <row r="127" spans="13:14" ht="15" customHeight="1">
      <c r="M127" t="str">
        <v>Segmentation-Segmentation-TaxNewsFlash-Europe</v>
      </c>
      <c r="N127" t="str">
        <v>A0000__Segmentation-Segmentation-TaxNewsFlash-ExemptOrganizations</v>
      </c>
    </row>
    <row r="128" spans="13:14" ht="15" customHeight="1">
      <c r="M128" t="str">
        <v>Segmentation-Segmentation-TaxNewsFlash-ExemptOrganizations</v>
      </c>
      <c r="N128" t="str">
        <v>A0000__Segmentation-Segmentation-TaxNewsFlash-FATCA</v>
      </c>
    </row>
    <row r="129" spans="13:14" ht="15" customHeight="1">
      <c r="M129" t="str">
        <v>Segmentation-Segmentation-TaxNewsFlash-FATCA</v>
      </c>
      <c r="N129" t="str">
        <v>A0000__Segmentation-Segmentation-TaxNewsFlash-IndirectTax</v>
      </c>
    </row>
    <row r="130" spans="13:14" ht="15" customHeight="1">
      <c r="M130" t="str">
        <v>Segmentation-Segmentation-TaxNewsFlash-IndirectTax</v>
      </c>
      <c r="N130" t="str">
        <v>A0000__Segmentation-Segmentation-TaxNewsFlash-SovereignWealthPensionFunds</v>
      </c>
    </row>
    <row r="131" spans="13:14" ht="15" customHeight="1">
      <c r="M131" t="str">
        <v>Segmentation-Segmentation-TaxNewsFlash-SovereignWealthPensionFunds</v>
      </c>
      <c r="N131" t="str">
        <v>A0000__Segmentation-Segmentation-TaxNewsFlash-TaxControversy</v>
      </c>
    </row>
    <row r="132" spans="13:14" ht="15" customHeight="1">
      <c r="M132" t="str">
        <v>Segmentation-Segmentation-TaxNewsFlash-TaxControversy</v>
      </c>
      <c r="N132" t="str">
        <v>A0000__Segmentation-Segmentation-TaxNewsFlash-TradeCustoms</v>
      </c>
    </row>
    <row r="133" spans="13:14" ht="15" customHeight="1">
      <c r="M133" t="str">
        <v>Segmentation-Segmentation-TaxNewsFlash-TradeCustoms</v>
      </c>
      <c r="N133" t="str">
        <v>A0000__Segmentation-Segmentation-TaxNewsFlash-TransferPricing</v>
      </c>
    </row>
    <row r="134" spans="13:14" ht="15" customHeight="1">
      <c r="M134" t="str">
        <v>Segmentation-Segmentation-TaxNewsFlash-TransferPricing</v>
      </c>
      <c r="N134" t="str">
        <v>A0000__Segmentation-Segmentation-TaxNewsFlash-UnitedStates</v>
      </c>
    </row>
    <row r="135" spans="13:14" ht="15" customHeight="1">
      <c r="M135" t="str">
        <v>Segmentation-Segmentation-TaxNewsFlash-UnitedStates</v>
      </c>
      <c r="N135" t="str">
        <v>A0000__Segmentation-Segmentation-TaxNewsFlash-WeekInTax</v>
      </c>
    </row>
    <row r="136" spans="13:14" ht="15" customHeight="1">
      <c r="M136" t="str">
        <v>Segmentation-Segmentation-TaxNewsFlash-WeekInTax</v>
      </c>
      <c r="N136" t="str">
        <v>A0000__Segmentation-Untapped-Potential</v>
      </c>
    </row>
    <row r="137" spans="13:14" ht="15" customHeight="1">
      <c r="M137" t="str">
        <v>Segmentation-Untapped-Potential</v>
      </c>
      <c r="N137" t="str">
        <v>A0000__SFIDUpdate-Maintain SalesforceID Marketing Data Sources</v>
      </c>
    </row>
    <row r="138" spans="13:14" ht="15" customHeight="1">
      <c r="M138" t="str">
        <v>SFIDUpdate-Maintain SalesforceID Marketing Data Sources</v>
      </c>
      <c r="N138" t="str">
        <v>A0000__SFIDUpdate-WebRFPGlobalMASTERDE</v>
      </c>
    </row>
    <row r="139" spans="13:14" ht="15" customHeight="1">
      <c r="M139" t="str">
        <v>SFIDUpdate-WebRFPGlobalMASTERDE</v>
      </c>
      <c r="N139" t="str">
        <v>A0000__SFIDValidation-NEEDQProcess-SFIDValidate</v>
      </c>
    </row>
    <row r="140" spans="13:14" ht="15" customHeight="1">
      <c r="M140" t="str">
        <v>SFIDValidation-NEEDQProcess-SFIDValidate</v>
      </c>
      <c r="N140" t="str">
        <v>A0000__SFTaskCreation-EventAttendanceInPersonIn5Days</v>
      </c>
    </row>
    <row r="141" spans="13:14" ht="15" customHeight="1">
      <c r="M141" t="str">
        <v>SFTaskCreation-EventAttendanceInPersonIn5Days</v>
      </c>
      <c r="N141" t="str">
        <v>A0000__SFTaskCreation-GlobalRFPExistingContact</v>
      </c>
    </row>
    <row r="142" spans="13:14" ht="15" customHeight="1">
      <c r="M142" t="str">
        <v>SFTaskCreation-GlobalRFPExistingContact</v>
      </c>
      <c r="N142" t="str">
        <v>A0000__SFTaskCreation-MultipleInPersonAttendees</v>
      </c>
    </row>
    <row r="143" spans="13:14" ht="15" customHeight="1">
      <c r="M143" t="str">
        <v>SFTaskCreation-MultipleInPersonAttendees</v>
      </c>
      <c r="N143" t="str">
        <v>A0000__SFupdate-Emailchange_Invalid_Valid</v>
      </c>
    </row>
    <row r="144" spans="13:14" ht="15" customHeight="1">
      <c r="M144" t="str">
        <v>SFupdate-Emailchange_Invalid_Valid</v>
      </c>
      <c r="N144" t="str">
        <v>A0000__Subscribers-MarketingTeamResetAllSubscribersStatus</v>
      </c>
    </row>
    <row r="145" spans="13:14" ht="15" customHeight="1">
      <c r="M145" t="str">
        <v>Subscribers-MarketingTeamResetAllSubscribersStatus</v>
      </c>
      <c r="N145" t="str">
        <v>A0000__Suppression-ContactDomainDormancySuppression</v>
      </c>
    </row>
    <row r="146" spans="13:14" ht="15" customHeight="1">
      <c r="M146" t="str">
        <v>Suppression-ContactDomainDormancySuppression</v>
      </c>
      <c r="N146" t="str">
        <v>A0000__Suppression-ContactDormancySuppression</v>
      </c>
    </row>
    <row r="147" spans="13:14" ht="15" customHeight="1">
      <c r="M147" t="str">
        <v>Suppression-ContactDormancySuppression</v>
      </c>
      <c r="N147" t="str">
        <v>A0000__Suppression-DomainExclusionList</v>
      </c>
    </row>
    <row r="148" spans="13:14" ht="15" customHeight="1">
      <c r="M148" t="str">
        <v>Suppression-DomainExclusionList</v>
      </c>
      <c r="N148" t="str">
        <v>A0000__Suppression-DormancyCycles</v>
      </c>
    </row>
    <row r="149" spans="13:14" ht="15" customHeight="1">
      <c r="M149" t="str">
        <v>Suppression-DormancyCycles</v>
      </c>
      <c r="N149" t="str">
        <v>A0000__Suppression-HardBounceList</v>
      </c>
    </row>
    <row r="150" spans="13:14" ht="15" customHeight="1">
      <c r="M150" t="str">
        <v>Suppression-HardBounceList</v>
      </c>
      <c r="N150" t="str">
        <v>A0000__Suppression-InvalidEmail_CPEUsageType</v>
      </c>
    </row>
    <row r="151" spans="13:14" ht="15" customHeight="1">
      <c r="M151" t="str">
        <v>Suppression-InvalidEmail_CPEUsageType</v>
      </c>
      <c r="N151" t="str">
        <v>A0000__Suppression-InvalidEmail_MASTER</v>
      </c>
    </row>
    <row r="152" spans="13:14" ht="15" customHeight="1">
      <c r="M152" t="str">
        <v>Suppression-InvalidEmail_MASTER</v>
      </c>
      <c r="N152" t="str">
        <v>A0000__SyncDE-InternationalCounts</v>
      </c>
    </row>
    <row r="153" spans="13:14" ht="15" customHeight="1">
      <c r="M153" t="str">
        <v>SyncDE-InternationalCounts</v>
      </c>
      <c r="N153" t="str">
        <v>A01A__AutomationName</v>
      </c>
    </row>
    <row r="154" spans="13:14" ht="15" customHeight="1">
      <c r="N154" t="str">
        <v>A09B__Consent-Consent Updates</v>
      </c>
    </row>
  </sheetData>
  <dataValidations count="1">
    <dataValidation type="list" allowBlank="1" showInputMessage="1" showErrorMessage="1" sqref="D3:G3 M3" xr:uid="{EF458BB0-D115-41BB-AEDA-3F51CC8296EB}">
      <formula1>$D:$D</formula1>
    </dataValidation>
  </dataValidations>
  <pageMargins left="0.7" right="0.7" top="0.75" bottom="0.75" header="0.3" footer="0.3"/>
  <customProperties>
    <customPr name="OrphanNamesChecked" r:id="rId1"/>
  </customPropertie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62063-F228-49F4-AB08-681ACA2ACDDC}">
  <dimension ref="A1"/>
  <sheetViews>
    <sheetView topLeftCell="A4" workbookViewId="0"/>
  </sheetViews>
  <sheetFormatPr defaultRowHeight="14.5"/>
  <sheetData/>
  <pageMargins left="0.7" right="0.7" top="0.75" bottom="0.75" header="0.3" footer="0.3"/>
  <customProperties>
    <customPr name="OrphanNamesChecked" r:id="rId1"/>
  </customPropertie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CB5D8-896C-4C03-8F3E-94C9A5667796}">
  <dimension ref="A1:T62"/>
  <sheetViews>
    <sheetView topLeftCell="C1" workbookViewId="0">
      <selection activeCell="G1" sqref="G1"/>
    </sheetView>
  </sheetViews>
  <sheetFormatPr defaultRowHeight="14.5"/>
  <cols>
    <col min="1" max="1" width="71.81640625" style="37" hidden="1" customWidth="1"/>
    <col min="2" max="2" width="20.453125" style="37" hidden="1" customWidth="1"/>
    <col min="3" max="3" width="9.1796875" style="22" customWidth="1"/>
    <col min="4" max="4" width="72.453125" style="37" hidden="1" customWidth="1"/>
    <col min="5" max="5" width="9.1796875" customWidth="1"/>
    <col min="6" max="6" width="11.1796875" bestFit="1" customWidth="1"/>
    <col min="7" max="7" width="30.81640625" customWidth="1"/>
    <col min="8" max="8" width="11.453125" customWidth="1"/>
    <col min="9" max="9" width="4" customWidth="1"/>
    <col min="10" max="10" width="41.1796875" bestFit="1" customWidth="1"/>
    <col min="11" max="11" width="14.453125" customWidth="1"/>
    <col min="12" max="12" width="8.7265625" customWidth="1"/>
    <col min="13" max="13" width="9.453125" customWidth="1"/>
    <col min="14" max="14" width="4.54296875" bestFit="1" customWidth="1"/>
    <col min="15" max="15" width="35.26953125" bestFit="1" customWidth="1"/>
    <col min="16" max="16" width="21.1796875" bestFit="1" customWidth="1"/>
    <col min="17" max="17" width="43.1796875" bestFit="1" customWidth="1"/>
    <col min="18" max="18" width="37.81640625" bestFit="1" customWidth="1"/>
    <col min="19" max="19" width="16.54296875" bestFit="1" customWidth="1"/>
  </cols>
  <sheetData>
    <row r="1" spans="1:20" s="31" customFormat="1">
      <c r="A1" s="35" t="s">
        <v>473</v>
      </c>
      <c r="B1" s="35" t="s">
        <v>454</v>
      </c>
      <c r="C1" s="28" t="s">
        <v>474</v>
      </c>
      <c r="D1" s="35" t="s">
        <v>475</v>
      </c>
      <c r="E1" s="27" t="s">
        <v>327</v>
      </c>
      <c r="F1" s="19" t="s">
        <v>325</v>
      </c>
      <c r="G1" s="29" t="s">
        <v>39</v>
      </c>
      <c r="H1" s="30" t="s">
        <v>476</v>
      </c>
      <c r="I1" s="30" t="s">
        <v>4</v>
      </c>
      <c r="J1" s="20" t="s">
        <v>477</v>
      </c>
      <c r="K1" s="27" t="s">
        <v>478</v>
      </c>
      <c r="L1" s="27" t="s">
        <v>479</v>
      </c>
      <c r="M1" s="27" t="s">
        <v>40</v>
      </c>
      <c r="N1" s="27" t="s">
        <v>480</v>
      </c>
      <c r="O1" s="27" t="s">
        <v>340</v>
      </c>
      <c r="P1" s="27" t="s">
        <v>481</v>
      </c>
      <c r="Q1" s="27" t="s">
        <v>346</v>
      </c>
      <c r="R1" s="27" t="s">
        <v>482</v>
      </c>
      <c r="S1" s="27" t="s">
        <v>483</v>
      </c>
      <c r="T1" s="27" t="s">
        <v>484</v>
      </c>
    </row>
    <row r="2" spans="1:20">
      <c r="A2" s="37" t="str">
        <f t="shared" ref="A2:A33" si="0">CONCATENATE("A",M2,"_",C2,"_",F2,"_",E2)</f>
        <v>A09B_1.1_SQL_Flip_Unsubscribe_To_Active_For_Lead</v>
      </c>
      <c r="B2" s="37" t="str">
        <f>CONCATENATE("A",Activities[[#This Row],[AutoID]],"_",TEXT(Activities[[#This Row],[Step]],"##00.0"),"_",Activities[[#This Row],[ActType]])</f>
        <v>A09B_01.1_SQL</v>
      </c>
      <c r="C2" s="32">
        <v>1.1000000000000001</v>
      </c>
      <c r="D2" s="36" t="str">
        <f>CONCATENATE(Activities[[#This Row],[Step]],"__",Activities[[#This Row],[ActivityName]],"__",Activities[[#This Row],[ActType]])</f>
        <v>1.1__Flip_Unsubscribe_To_Active_For_Lead__SQL</v>
      </c>
      <c r="E2" s="14" t="s">
        <v>485</v>
      </c>
      <c r="F2" t="s">
        <v>341</v>
      </c>
      <c r="G2" t="s">
        <v>436</v>
      </c>
      <c r="H2" t="s">
        <v>486</v>
      </c>
      <c r="I2" t="s">
        <v>4</v>
      </c>
      <c r="J2" s="14" t="s">
        <v>487</v>
      </c>
      <c r="K2" t="s">
        <v>488</v>
      </c>
      <c r="M2" s="14" t="s">
        <v>71</v>
      </c>
      <c r="N2" t="s">
        <v>4</v>
      </c>
      <c r="O2" s="14" t="s">
        <v>338</v>
      </c>
      <c r="P2" s="14" t="s">
        <v>342</v>
      </c>
      <c r="Q2" t="s">
        <v>343</v>
      </c>
    </row>
    <row r="3" spans="1:20">
      <c r="A3" s="37" t="str">
        <f t="shared" si="0"/>
        <v>A09B_2.1_SQL_Flip_Unsubscribe_To_Active_For_Contact</v>
      </c>
      <c r="B3" s="37" t="str">
        <f>CONCATENATE("A",Activities[[#This Row],[AutoID]],"_",TEXT(Activities[[#This Row],[Step]],"##00.0"),"_",Activities[[#This Row],[ActType]])</f>
        <v>A09B_02.1_SQL</v>
      </c>
      <c r="C3" s="22">
        <v>2.1</v>
      </c>
      <c r="D3" s="36" t="str">
        <f>CONCATENATE(Activities[[#This Row],[Step]],"__",Activities[[#This Row],[ActivityName]],"__",Activities[[#This Row],[ActType]])</f>
        <v>2.1__Flip_Unsubscribe_To_Active_For_Contact__SQL</v>
      </c>
      <c r="E3" s="14" t="s">
        <v>489</v>
      </c>
      <c r="F3" t="s">
        <v>341</v>
      </c>
      <c r="G3" t="s">
        <v>436</v>
      </c>
      <c r="H3" t="s">
        <v>490</v>
      </c>
      <c r="I3" t="s">
        <v>4</v>
      </c>
      <c r="J3" s="14" t="s">
        <v>491</v>
      </c>
      <c r="K3" s="14" t="s">
        <v>488</v>
      </c>
      <c r="L3" s="14"/>
      <c r="M3" s="14" t="s">
        <v>71</v>
      </c>
      <c r="N3" t="s">
        <v>4</v>
      </c>
      <c r="O3" s="14" t="s">
        <v>338</v>
      </c>
      <c r="P3" t="s">
        <v>356</v>
      </c>
      <c r="Q3" t="s">
        <v>343</v>
      </c>
    </row>
    <row r="4" spans="1:20">
      <c r="A4" s="37" t="str">
        <f t="shared" si="0"/>
        <v>A09B_3.1_Script_DeleteFromAutoSuppressionList</v>
      </c>
      <c r="B4" s="37" t="str">
        <f>CONCATENATE("A",Activities[[#This Row],[AutoID]],"_",TEXT(Activities[[#This Row],[Step]],"##00.0"),"_",Activities[[#This Row],[ActType]])</f>
        <v>A09B_03.1_Script</v>
      </c>
      <c r="C4" s="22">
        <v>3.1</v>
      </c>
      <c r="D4" s="36" t="str">
        <f>CONCATENATE(Activities[[#This Row],[Step]],"__",Activities[[#This Row],[ActivityName]],"__",Activities[[#This Row],[ActType]])</f>
        <v>3.1__DeleteFromAutoSuppressionList__Script</v>
      </c>
      <c r="E4" s="14" t="s">
        <v>492</v>
      </c>
      <c r="F4" t="s">
        <v>493</v>
      </c>
      <c r="G4" t="s">
        <v>436</v>
      </c>
      <c r="H4" t="s">
        <v>494</v>
      </c>
      <c r="I4" t="s">
        <v>4</v>
      </c>
      <c r="J4" s="14" t="s">
        <v>495</v>
      </c>
      <c r="K4" t="s">
        <v>496</v>
      </c>
      <c r="M4" s="14" t="s">
        <v>71</v>
      </c>
      <c r="N4" t="s">
        <v>4</v>
      </c>
      <c r="O4" t="s">
        <v>497</v>
      </c>
      <c r="P4" t="s">
        <v>498</v>
      </c>
      <c r="Q4" t="s">
        <v>499</v>
      </c>
    </row>
    <row r="5" spans="1:20">
      <c r="A5" s="37" t="str">
        <f t="shared" si="0"/>
        <v>A09B_4.1_SQL_Final_Flip_All_Subscribers_To_Unsubscribe_To_Active</v>
      </c>
      <c r="B5" s="37" t="str">
        <f>CONCATENATE("A",Activities[[#This Row],[AutoID]],"_",TEXT(Activities[[#This Row],[Step]],"##00.0"),"_",Activities[[#This Row],[ActType]])</f>
        <v>A09B_04.1_SQL</v>
      </c>
      <c r="C5" s="22">
        <v>4.0999999999999996</v>
      </c>
      <c r="D5" s="36" t="str">
        <f>CONCATENATE(Activities[[#This Row],[Step]],"__",Activities[[#This Row],[ActivityName]],"__",Activities[[#This Row],[ActType]])</f>
        <v>4.1__Final_Flip_All_Subscribers_To_Unsubscribe_To_Active__SQL</v>
      </c>
      <c r="E5" s="14" t="s">
        <v>500</v>
      </c>
      <c r="F5" t="s">
        <v>341</v>
      </c>
      <c r="G5" t="s">
        <v>436</v>
      </c>
      <c r="H5" t="s">
        <v>501</v>
      </c>
      <c r="I5" t="s">
        <v>4</v>
      </c>
      <c r="J5" s="14" t="s">
        <v>502</v>
      </c>
      <c r="K5" s="14" t="s">
        <v>488</v>
      </c>
      <c r="L5" s="14" t="s">
        <v>501</v>
      </c>
      <c r="M5" s="14" t="s">
        <v>71</v>
      </c>
      <c r="N5" t="s">
        <v>4</v>
      </c>
      <c r="O5" s="14" t="s">
        <v>359</v>
      </c>
      <c r="P5" s="14" t="s">
        <v>342</v>
      </c>
      <c r="Q5" t="s">
        <v>338</v>
      </c>
    </row>
    <row r="6" spans="1:20">
      <c r="A6" s="37" t="str">
        <f t="shared" si="0"/>
        <v>A09B_5.1_DataExtract_Final_Flip_All_Subscriber_Unsubscribe_to_Active</v>
      </c>
      <c r="B6" s="37" t="str">
        <f>CONCATENATE("A",Activities[[#This Row],[AutoID]],"_",TEXT(Activities[[#This Row],[Step]],"##00.0"),"_",Activities[[#This Row],[ActType]])</f>
        <v>A09B_05.1_DataExtract</v>
      </c>
      <c r="C6" s="22">
        <v>5.0999999999999996</v>
      </c>
      <c r="D6" s="36" t="str">
        <f>CONCATENATE(Activities[[#This Row],[Step]],"__",Activities[[#This Row],[ActivityName]],"__",Activities[[#This Row],[ActType]])</f>
        <v>5.1__Final_Flip_All_Subscriber_Unsubscribe_to_Active__DataExtract</v>
      </c>
      <c r="E6" s="14" t="s">
        <v>503</v>
      </c>
      <c r="F6" t="s">
        <v>504</v>
      </c>
      <c r="G6" t="s">
        <v>436</v>
      </c>
      <c r="H6" t="s">
        <v>505</v>
      </c>
      <c r="I6" t="s">
        <v>4</v>
      </c>
      <c r="J6" s="18" t="s">
        <v>506</v>
      </c>
      <c r="L6" s="14" t="s">
        <v>507</v>
      </c>
      <c r="M6" s="14" t="s">
        <v>71</v>
      </c>
      <c r="N6" t="s">
        <v>4</v>
      </c>
      <c r="O6" t="s">
        <v>508</v>
      </c>
      <c r="P6" s="14" t="s">
        <v>509</v>
      </c>
      <c r="Q6" s="14" t="s">
        <v>510</v>
      </c>
      <c r="R6" s="14" t="s">
        <v>511</v>
      </c>
      <c r="S6" s="14" t="s">
        <v>512</v>
      </c>
    </row>
    <row r="7" spans="1:20">
      <c r="A7" s="37" t="str">
        <f t="shared" si="0"/>
        <v>A09B_6.1_FileTransfer_Final_Flip_All_Subscriber_Unsubscribe_to_Active _o _FTP</v>
      </c>
      <c r="B7" s="37" t="str">
        <f>CONCATENATE("A",Activities[[#This Row],[AutoID]],"_",TEXT(Activities[[#This Row],[Step]],"##00.0"),"_",Activities[[#This Row],[ActType]])</f>
        <v>A09B_06.1_FileTransfer</v>
      </c>
      <c r="C7" s="22">
        <v>6.1</v>
      </c>
      <c r="D7" s="36" t="str">
        <f>CONCATENATE(Activities[[#This Row],[Step]],"__",Activities[[#This Row],[ActivityName]],"__",Activities[[#This Row],[ActType]])</f>
        <v>6.1__Final_Flip_All_Subscriber_Unsubscribe_to_Active _o _FTP__FileTransfer</v>
      </c>
      <c r="E7" s="14" t="s">
        <v>513</v>
      </c>
      <c r="F7" t="s">
        <v>514</v>
      </c>
      <c r="G7" t="s">
        <v>436</v>
      </c>
      <c r="H7" t="s">
        <v>515</v>
      </c>
      <c r="I7" t="s">
        <v>4</v>
      </c>
      <c r="J7" s="14" t="s">
        <v>516</v>
      </c>
      <c r="M7" s="14" t="s">
        <v>71</v>
      </c>
      <c r="N7" t="s">
        <v>4</v>
      </c>
      <c r="O7" t="s">
        <v>508</v>
      </c>
      <c r="P7" s="14" t="s">
        <v>517</v>
      </c>
      <c r="Q7" s="14" t="s">
        <v>511</v>
      </c>
      <c r="R7" s="14" t="s">
        <v>518</v>
      </c>
      <c r="S7" s="14" t="s">
        <v>519</v>
      </c>
    </row>
    <row r="8" spans="1:20">
      <c r="A8" s="37" t="str">
        <f t="shared" si="0"/>
        <v>A09B_7.1_DataImport_Flip_All_Subscriber_Unsubscribe_to_Active</v>
      </c>
      <c r="B8" s="37" t="str">
        <f>CONCATENATE("A",Activities[[#This Row],[AutoID]],"_",TEXT(Activities[[#This Row],[Step]],"##00.0"),"_",Activities[[#This Row],[ActType]])</f>
        <v>A09B_07.1_DataImport</v>
      </c>
      <c r="C8" s="22">
        <v>7.1</v>
      </c>
      <c r="D8" s="36" t="str">
        <f>CONCATENATE(Activities[[#This Row],[Step]],"__",Activities[[#This Row],[ActivityName]],"__",Activities[[#This Row],[ActType]])</f>
        <v>7.1__Flip_All_Subscriber_Unsubscribe_to_Active__DataImport</v>
      </c>
      <c r="E8" s="14" t="s">
        <v>338</v>
      </c>
      <c r="F8" t="s">
        <v>520</v>
      </c>
      <c r="G8" t="s">
        <v>436</v>
      </c>
      <c r="H8" t="s">
        <v>521</v>
      </c>
      <c r="I8" t="s">
        <v>4</v>
      </c>
      <c r="J8" t="s">
        <v>522</v>
      </c>
      <c r="L8" s="14" t="s">
        <v>523</v>
      </c>
      <c r="M8" s="14" t="s">
        <v>71</v>
      </c>
      <c r="N8" t="s">
        <v>4</v>
      </c>
      <c r="O8" s="23" t="s">
        <v>524</v>
      </c>
      <c r="P8" t="s">
        <v>525</v>
      </c>
      <c r="Q8" s="14" t="s">
        <v>518</v>
      </c>
      <c r="R8" s="14" t="s">
        <v>518</v>
      </c>
      <c r="T8" t="s">
        <v>526</v>
      </c>
    </row>
    <row r="9" spans="1:20">
      <c r="A9" s="37" t="str">
        <f t="shared" si="0"/>
        <v>A09B_8.1_SQL_
Optin_from_Unsubscribe_From_All_Preferences</v>
      </c>
      <c r="B9" s="37" t="str">
        <f>CONCATENATE("A",Activities[[#This Row],[AutoID]],"_",TEXT(Activities[[#This Row],[Step]],"##00.0"),"_",Activities[[#This Row],[ActType]])</f>
        <v>A09B_08.1_SQL</v>
      </c>
      <c r="C9" s="22">
        <v>8.1</v>
      </c>
      <c r="D9" s="36" t="str">
        <f>CONCATENATE(Activities[[#This Row],[Step]],"__",Activities[[#This Row],[ActivityName]],"__",Activities[[#This Row],[ActType]])</f>
        <v>8.1__
Optin_from_Unsubscribe_From_All_Preferences__SQL</v>
      </c>
      <c r="E9" s="14" t="s">
        <v>527</v>
      </c>
      <c r="F9" t="s">
        <v>341</v>
      </c>
      <c r="G9" t="s">
        <v>436</v>
      </c>
      <c r="H9" t="s">
        <v>528</v>
      </c>
      <c r="I9" t="s">
        <v>4</v>
      </c>
      <c r="J9" s="14" t="s">
        <v>529</v>
      </c>
      <c r="K9" t="s">
        <v>488</v>
      </c>
      <c r="M9" s="14" t="s">
        <v>71</v>
      </c>
      <c r="N9" t="s">
        <v>4</v>
      </c>
      <c r="O9" s="14" t="s">
        <v>362</v>
      </c>
      <c r="P9" s="14" t="s">
        <v>342</v>
      </c>
      <c r="Q9" t="s">
        <v>338</v>
      </c>
    </row>
    <row r="10" spans="1:20">
      <c r="A10" s="37" t="str">
        <f t="shared" si="0"/>
        <v>A09B_9.1_SCRIPT_Delete_Optin_UnsubAll</v>
      </c>
      <c r="B10" s="37" t="str">
        <f>CONCATENATE("A",Activities[[#This Row],[AutoID]],"_",TEXT(Activities[[#This Row],[Step]],"##00.0"),"_",Activities[[#This Row],[ActType]])</f>
        <v>A09B_09.1_SCRIPT</v>
      </c>
      <c r="C10" s="22">
        <v>9.1</v>
      </c>
      <c r="D10" s="36" t="str">
        <f>CONCATENATE(Activities[[#This Row],[Step]],"__",Activities[[#This Row],[ActivityName]],"__",Activities[[#This Row],[ActType]])</f>
        <v>9.1__Delete_Optin_UnsubAll__SCRIPT</v>
      </c>
      <c r="E10" s="14" t="s">
        <v>530</v>
      </c>
      <c r="F10" t="s">
        <v>461</v>
      </c>
      <c r="G10" t="s">
        <v>436</v>
      </c>
      <c r="H10" t="s">
        <v>531</v>
      </c>
      <c r="I10" t="s">
        <v>4</v>
      </c>
      <c r="J10" s="14" t="s">
        <v>532</v>
      </c>
      <c r="K10" s="14" t="s">
        <v>533</v>
      </c>
      <c r="M10" s="14" t="s">
        <v>71</v>
      </c>
      <c r="N10" t="s">
        <v>4</v>
      </c>
      <c r="O10" s="14" t="s">
        <v>363</v>
      </c>
      <c r="P10" t="s">
        <v>534</v>
      </c>
      <c r="Q10" t="s">
        <v>535</v>
      </c>
    </row>
    <row r="11" spans="1:20">
      <c r="A11" s="37" t="str">
        <f t="shared" si="0"/>
        <v>A09B_10.1_SQL_Remaining_OptIn_Records_From_Unsubscribe</v>
      </c>
      <c r="B11" s="37" t="str">
        <f>CONCATENATE("A",Activities[[#This Row],[AutoID]],"_",TEXT(Activities[[#This Row],[Step]],"##00.0"),"_",Activities[[#This Row],[ActType]])</f>
        <v>A09B_10.1_SQL</v>
      </c>
      <c r="C11" s="22">
        <v>10.1</v>
      </c>
      <c r="D11" s="36" t="str">
        <f>CONCATENATE(Activities[[#This Row],[Step]],"__",Activities[[#This Row],[ActivityName]],"__",Activities[[#This Row],[ActType]])</f>
        <v>10.1__Remaining_OptIn_Records_From_Unsubscribe__SQL</v>
      </c>
      <c r="E11" s="14" t="s">
        <v>536</v>
      </c>
      <c r="F11" t="s">
        <v>341</v>
      </c>
      <c r="G11" t="s">
        <v>436</v>
      </c>
      <c r="I11" t="s">
        <v>4</v>
      </c>
      <c r="J11" s="14" t="s">
        <v>537</v>
      </c>
      <c r="K11" s="14" t="s">
        <v>538</v>
      </c>
      <c r="M11" s="14" t="s">
        <v>71</v>
      </c>
      <c r="N11" t="s">
        <v>4</v>
      </c>
      <c r="O11" t="s">
        <v>365</v>
      </c>
      <c r="P11" s="14" t="s">
        <v>342</v>
      </c>
      <c r="Q11" t="s">
        <v>362</v>
      </c>
    </row>
    <row r="12" spans="1:20">
      <c r="A12" s="37" t="str">
        <f t="shared" si="0"/>
        <v>A09B_11.1_SQL_Add_Sales_Cloud_Active_To_Audit_Preferences_For_Leads</v>
      </c>
      <c r="B12" s="37" t="str">
        <f>CONCATENATE("A",Activities[[#This Row],[AutoID]],"_",TEXT(Activities[[#This Row],[Step]],"##00.0"),"_",Activities[[#This Row],[ActType]])</f>
        <v>A09B_11.1_SQL</v>
      </c>
      <c r="C12" s="22">
        <v>11.1</v>
      </c>
      <c r="D12" s="36" t="str">
        <f>CONCATENATE(Activities[[#This Row],[Step]],"__",Activities[[#This Row],[ActivityName]],"__",Activities[[#This Row],[ActType]])</f>
        <v>11.1__Add_Sales_Cloud_Active_To_Audit_Preferences_For_Leads__SQL</v>
      </c>
      <c r="E12" s="14" t="s">
        <v>539</v>
      </c>
      <c r="F12" t="s">
        <v>341</v>
      </c>
      <c r="G12" t="s">
        <v>436</v>
      </c>
      <c r="H12" t="s">
        <v>540</v>
      </c>
      <c r="I12" t="s">
        <v>4</v>
      </c>
      <c r="J12" s="14" t="s">
        <v>541</v>
      </c>
      <c r="K12" s="14" t="s">
        <v>488</v>
      </c>
      <c r="L12" s="14" t="s">
        <v>540</v>
      </c>
      <c r="M12" s="14" t="s">
        <v>71</v>
      </c>
      <c r="N12" t="s">
        <v>4</v>
      </c>
      <c r="O12" s="14" t="s">
        <v>367</v>
      </c>
      <c r="P12" s="14" t="s">
        <v>368</v>
      </c>
      <c r="Q12" t="s">
        <v>338</v>
      </c>
    </row>
    <row r="13" spans="1:20">
      <c r="A13" s="37" t="str">
        <f t="shared" si="0"/>
        <v>A09B_12.1_SQL_Add_Sales_Cloud_Active_To_Audit_Preferences_For_Contacts</v>
      </c>
      <c r="B13" s="37" t="str">
        <f>CONCATENATE("A",Activities[[#This Row],[AutoID]],"_",TEXT(Activities[[#This Row],[Step]],"##00.0"),"_",Activities[[#This Row],[ActType]])</f>
        <v>A09B_12.1_SQL</v>
      </c>
      <c r="C13" s="22">
        <v>12.1</v>
      </c>
      <c r="D13" s="36" t="str">
        <f>CONCATENATE(Activities[[#This Row],[Step]],"__",Activities[[#This Row],[ActivityName]],"__",Activities[[#This Row],[ActType]])</f>
        <v>12.1__Add_Sales_Cloud_Active_To_Audit_Preferences_For_Contacts__SQL</v>
      </c>
      <c r="E13" s="14" t="s">
        <v>542</v>
      </c>
      <c r="F13" t="s">
        <v>341</v>
      </c>
      <c r="G13" t="s">
        <v>436</v>
      </c>
      <c r="H13" t="s">
        <v>543</v>
      </c>
      <c r="I13" t="s">
        <v>4</v>
      </c>
      <c r="J13" s="14" t="s">
        <v>544</v>
      </c>
      <c r="K13" s="14" t="s">
        <v>488</v>
      </c>
      <c r="L13" s="14" t="s">
        <v>543</v>
      </c>
      <c r="M13" s="14" t="s">
        <v>71</v>
      </c>
      <c r="N13" t="s">
        <v>4</v>
      </c>
      <c r="O13" s="14" t="s">
        <v>367</v>
      </c>
      <c r="P13" s="14" t="s">
        <v>368</v>
      </c>
      <c r="Q13" t="s">
        <v>338</v>
      </c>
    </row>
    <row r="14" spans="1:20">
      <c r="A14" s="37" t="str">
        <f t="shared" si="0"/>
        <v>A09B_13.1_SQL_Add_Sales_Cloud_Active_To_Record_Keeper</v>
      </c>
      <c r="B14" s="37" t="str">
        <f>CONCATENATE("A",Activities[[#This Row],[AutoID]],"_",TEXT(Activities[[#This Row],[Step]],"##00.0"),"_",Activities[[#This Row],[ActType]])</f>
        <v>A09B_13.1_SQL</v>
      </c>
      <c r="C14" s="22">
        <v>13.1</v>
      </c>
      <c r="D14" s="36" t="str">
        <f>CONCATENATE(Activities[[#This Row],[Step]],"__",Activities[[#This Row],[ActivityName]],"__",Activities[[#This Row],[ActType]])</f>
        <v>13.1__Add_Sales_Cloud_Active_To_Record_Keeper__SQL</v>
      </c>
      <c r="E14" s="14" t="s">
        <v>545</v>
      </c>
      <c r="F14" t="s">
        <v>341</v>
      </c>
      <c r="G14" t="s">
        <v>436</v>
      </c>
      <c r="H14" t="s">
        <v>546</v>
      </c>
      <c r="I14" t="s">
        <v>4</v>
      </c>
      <c r="J14" s="14" t="s">
        <v>547</v>
      </c>
      <c r="K14" s="14" t="s">
        <v>548</v>
      </c>
      <c r="L14" s="14" t="s">
        <v>549</v>
      </c>
      <c r="M14" s="14" t="s">
        <v>71</v>
      </c>
      <c r="N14" t="s">
        <v>4</v>
      </c>
      <c r="O14" s="14" t="s">
        <v>376</v>
      </c>
      <c r="P14" s="14" t="s">
        <v>368</v>
      </c>
      <c r="Q14" t="s">
        <v>338</v>
      </c>
    </row>
    <row r="15" spans="1:20">
      <c r="A15" s="37" t="str">
        <f t="shared" si="0"/>
        <v>A09B_14.1_WAIT_WAIT - 5 MIN</v>
      </c>
      <c r="B15" s="37" t="str">
        <f>CONCATENATE("A",Activities[[#This Row],[AutoID]],"_",TEXT(Activities[[#This Row],[Step]],"##00.0"),"_",Activities[[#This Row],[ActType]])</f>
        <v>A09B_14.1_WAIT</v>
      </c>
      <c r="C15" s="22">
        <v>14.1</v>
      </c>
      <c r="D15" s="36" t="str">
        <f>CONCATENATE(Activities[[#This Row],[Step]],"__",Activities[[#This Row],[ActivityName]],"__",Activities[[#This Row],[ActType]])</f>
        <v>14.1__WAIT - 5 MIN__WAIT</v>
      </c>
      <c r="E15" s="14" t="s">
        <v>550</v>
      </c>
      <c r="F15" t="s">
        <v>471</v>
      </c>
      <c r="G15" t="s">
        <v>436</v>
      </c>
      <c r="I15" t="s">
        <v>4</v>
      </c>
      <c r="J15" s="14" t="s">
        <v>81</v>
      </c>
      <c r="K15" s="14" t="s">
        <v>81</v>
      </c>
      <c r="L15" s="14" t="s">
        <v>81</v>
      </c>
      <c r="M15" s="14" t="s">
        <v>71</v>
      </c>
      <c r="N15" t="s">
        <v>4</v>
      </c>
      <c r="O15" s="14" t="s">
        <v>81</v>
      </c>
      <c r="P15" s="14" t="s">
        <v>81</v>
      </c>
      <c r="Q15" s="14" t="s">
        <v>81</v>
      </c>
    </row>
    <row r="16" spans="1:20">
      <c r="A16" s="37" t="str">
        <f t="shared" si="0"/>
        <v>A09B_15.1_SQL_Flip_Active_To_Unsubscribe_For_Lead</v>
      </c>
      <c r="B16" s="37" t="str">
        <f>CONCATENATE("A",Activities[[#This Row],[AutoID]],"_",TEXT(Activities[[#This Row],[Step]],"##00.0"),"_",Activities[[#This Row],[ActType]])</f>
        <v>A09B_15.1_SQL</v>
      </c>
      <c r="C16" s="22">
        <v>15.1</v>
      </c>
      <c r="D16" s="36" t="str">
        <f>CONCATENATE(Activities[[#This Row],[Step]],"__",Activities[[#This Row],[ActivityName]],"__",Activities[[#This Row],[ActType]])</f>
        <v>15.1__Flip_Active_To_Unsubscribe_For_Lead__SQL</v>
      </c>
      <c r="E16" s="14" t="s">
        <v>551</v>
      </c>
      <c r="F16" t="s">
        <v>341</v>
      </c>
      <c r="G16" t="s">
        <v>436</v>
      </c>
      <c r="H16" t="s">
        <v>552</v>
      </c>
      <c r="I16" t="s">
        <v>4</v>
      </c>
      <c r="J16" s="14" t="s">
        <v>553</v>
      </c>
      <c r="K16" s="14" t="s">
        <v>548</v>
      </c>
      <c r="M16" s="14" t="s">
        <v>71</v>
      </c>
      <c r="N16" t="s">
        <v>4</v>
      </c>
      <c r="O16" s="14" t="s">
        <v>378</v>
      </c>
      <c r="P16" t="s">
        <v>342</v>
      </c>
      <c r="Q16" t="s">
        <v>343</v>
      </c>
    </row>
    <row r="17" spans="1:20">
      <c r="A17" s="37" t="str">
        <f t="shared" si="0"/>
        <v>A09B_16.1_SQL_Flip_Active_To_Unsubscribe_For_Contact</v>
      </c>
      <c r="B17" s="37" t="str">
        <f>CONCATENATE("A",Activities[[#This Row],[AutoID]],"_",TEXT(Activities[[#This Row],[Step]],"##00.0"),"_",Activities[[#This Row],[ActType]])</f>
        <v>A09B_16.1_SQL</v>
      </c>
      <c r="C17" s="22">
        <v>16.100000000000001</v>
      </c>
      <c r="D17" s="36" t="str">
        <f>CONCATENATE(Activities[[#This Row],[Step]],"__",Activities[[#This Row],[ActivityName]],"__",Activities[[#This Row],[ActType]])</f>
        <v>16.1__Flip_Active_To_Unsubscribe_For_Contact__SQL</v>
      </c>
      <c r="E17" s="14" t="s">
        <v>554</v>
      </c>
      <c r="F17" t="s">
        <v>341</v>
      </c>
      <c r="G17" t="s">
        <v>436</v>
      </c>
      <c r="H17" t="s">
        <v>555</v>
      </c>
      <c r="I17" t="s">
        <v>4</v>
      </c>
      <c r="J17" s="14" t="s">
        <v>556</v>
      </c>
      <c r="K17" s="14" t="s">
        <v>488</v>
      </c>
      <c r="M17" s="14" t="s">
        <v>71</v>
      </c>
      <c r="N17" t="s">
        <v>4</v>
      </c>
      <c r="O17" s="14" t="s">
        <v>557</v>
      </c>
      <c r="P17" t="s">
        <v>356</v>
      </c>
      <c r="Q17" t="s">
        <v>343</v>
      </c>
    </row>
    <row r="18" spans="1:20">
      <c r="A18" s="37" t="str">
        <f t="shared" si="0"/>
        <v>A09B_17.1_SQL_Final_Preferences-Update_Unsubscribed_in_AllSubscribers</v>
      </c>
      <c r="B18" s="37" t="str">
        <f>CONCATENATE("A",Activities[[#This Row],[AutoID]],"_",TEXT(Activities[[#This Row],[Step]],"##00.0"),"_",Activities[[#This Row],[ActType]])</f>
        <v>A09B_17.1_SQL</v>
      </c>
      <c r="C18" s="22">
        <v>17.100000000000001</v>
      </c>
      <c r="D18" s="36" t="str">
        <f>CONCATENATE(Activities[[#This Row],[Step]],"__",Activities[[#This Row],[ActivityName]],"__",Activities[[#This Row],[ActType]])</f>
        <v>17.1__Final_Preferences-Update_Unsubscribed_in_AllSubscribers__SQL</v>
      </c>
      <c r="E18" s="14" t="s">
        <v>381</v>
      </c>
      <c r="F18" t="s">
        <v>341</v>
      </c>
      <c r="G18" t="s">
        <v>436</v>
      </c>
      <c r="H18" t="s">
        <v>558</v>
      </c>
      <c r="I18" t="s">
        <v>4</v>
      </c>
      <c r="J18" s="14" t="s">
        <v>559</v>
      </c>
      <c r="K18" s="14" t="s">
        <v>488</v>
      </c>
      <c r="L18" s="14" t="s">
        <v>558</v>
      </c>
      <c r="M18" s="14" t="s">
        <v>71</v>
      </c>
      <c r="N18" t="s">
        <v>4</v>
      </c>
      <c r="O18" s="14" t="s">
        <v>381</v>
      </c>
      <c r="P18" t="s">
        <v>342</v>
      </c>
      <c r="Q18" t="s">
        <v>378</v>
      </c>
    </row>
    <row r="19" spans="1:20">
      <c r="A19" s="37" t="str">
        <f t="shared" si="0"/>
        <v>A09B_18.1_DataExtract_Unsubscribed_in_AllSubscribers_DataExtract</v>
      </c>
      <c r="B19" s="37" t="str">
        <f>CONCATENATE("A",Activities[[#This Row],[AutoID]],"_",TEXT(Activities[[#This Row],[Step]],"##00.0"),"_",Activities[[#This Row],[ActType]])</f>
        <v>A09B_18.1_DataExtract</v>
      </c>
      <c r="C19" s="22">
        <v>18.100000000000001</v>
      </c>
      <c r="D19" s="36" t="str">
        <f>CONCATENATE(Activities[[#This Row],[Step]],"__",Activities[[#This Row],[ActivityName]],"__",Activities[[#This Row],[ActType]])</f>
        <v>18.1__Unsubscribed_in_AllSubscribers_DataExtract__DataExtract</v>
      </c>
      <c r="E19" s="14" t="s">
        <v>560</v>
      </c>
      <c r="F19" t="s">
        <v>504</v>
      </c>
      <c r="G19" t="s">
        <v>436</v>
      </c>
      <c r="H19" t="s">
        <v>561</v>
      </c>
      <c r="I19" t="s">
        <v>4</v>
      </c>
      <c r="J19" s="18" t="s">
        <v>562</v>
      </c>
      <c r="L19" s="14" t="s">
        <v>563</v>
      </c>
      <c r="M19" s="14" t="s">
        <v>71</v>
      </c>
      <c r="N19" t="s">
        <v>4</v>
      </c>
      <c r="O19" t="s">
        <v>508</v>
      </c>
      <c r="P19" s="18" t="s">
        <v>564</v>
      </c>
      <c r="Q19" s="14" t="s">
        <v>565</v>
      </c>
      <c r="R19" s="14" t="s">
        <v>566</v>
      </c>
    </row>
    <row r="20" spans="1:20">
      <c r="A20" s="37" t="str">
        <f t="shared" si="0"/>
        <v>A09B_19.1_FileTransfer_Unsubscribed_in_AllSubscribers_MoveFile_to_FTP</v>
      </c>
      <c r="B20" s="37" t="str">
        <f>CONCATENATE("A",Activities[[#This Row],[AutoID]],"_",TEXT(Activities[[#This Row],[Step]],"##00.0"),"_",Activities[[#This Row],[ActType]])</f>
        <v>A09B_19.1_FileTransfer</v>
      </c>
      <c r="C20" s="22">
        <v>19.100000000000001</v>
      </c>
      <c r="D20" s="36" t="str">
        <f>CONCATENATE(Activities[[#This Row],[Step]],"__",Activities[[#This Row],[ActivityName]],"__",Activities[[#This Row],[ActType]])</f>
        <v>19.1__Unsubscribed_in_AllSubscribers_MoveFile_to_FTP__FileTransfer</v>
      </c>
      <c r="E20" s="14" t="s">
        <v>567</v>
      </c>
      <c r="F20" t="s">
        <v>514</v>
      </c>
      <c r="G20" t="s">
        <v>436</v>
      </c>
      <c r="H20" t="s">
        <v>568</v>
      </c>
      <c r="I20" t="s">
        <v>4</v>
      </c>
      <c r="J20" s="14" t="s">
        <v>569</v>
      </c>
      <c r="L20" s="14" t="s">
        <v>570</v>
      </c>
      <c r="M20" s="14" t="s">
        <v>71</v>
      </c>
      <c r="N20" t="s">
        <v>4</v>
      </c>
      <c r="O20" t="s">
        <v>508</v>
      </c>
      <c r="P20" s="14" t="s">
        <v>517</v>
      </c>
      <c r="Q20" s="14" t="s">
        <v>565</v>
      </c>
      <c r="R20" s="14" t="s">
        <v>566</v>
      </c>
      <c r="S20" s="14" t="s">
        <v>519</v>
      </c>
    </row>
    <row r="21" spans="1:20">
      <c r="A21" s="37" t="str">
        <f t="shared" si="0"/>
        <v>A09B_20.1_DataImport_Unsubscribed_in_AllSubscribers_ImportFile</v>
      </c>
      <c r="B21" s="37" t="str">
        <f>CONCATENATE("A",Activities[[#This Row],[AutoID]],"_",TEXT(Activities[[#This Row],[Step]],"##00.0"),"_",Activities[[#This Row],[ActType]])</f>
        <v>A09B_20.1_DataImport</v>
      </c>
      <c r="C21" s="22">
        <v>20.100000000000001</v>
      </c>
      <c r="D21" s="36" t="str">
        <f>CONCATENATE(Activities[[#This Row],[Step]],"__",Activities[[#This Row],[ActivityName]],"__",Activities[[#This Row],[ActType]])</f>
        <v>20.1__Unsubscribed_in_AllSubscribers_ImportFile__DataImport</v>
      </c>
      <c r="E21" s="14" t="s">
        <v>571</v>
      </c>
      <c r="F21" t="s">
        <v>520</v>
      </c>
      <c r="G21" t="s">
        <v>436</v>
      </c>
      <c r="H21" t="s">
        <v>521</v>
      </c>
      <c r="I21" t="s">
        <v>4</v>
      </c>
      <c r="J21" s="14" t="s">
        <v>572</v>
      </c>
      <c r="M21" s="14" t="s">
        <v>71</v>
      </c>
      <c r="N21" t="s">
        <v>4</v>
      </c>
      <c r="O21" s="23" t="s">
        <v>524</v>
      </c>
      <c r="P21" s="14" t="s">
        <v>573</v>
      </c>
      <c r="Q21" s="14" t="s">
        <v>566</v>
      </c>
      <c r="R21" s="14" t="s">
        <v>566</v>
      </c>
      <c r="S21" s="14" t="s">
        <v>519</v>
      </c>
      <c r="T21" t="s">
        <v>526</v>
      </c>
    </row>
    <row r="22" spans="1:20">
      <c r="A22" s="37" t="str">
        <f t="shared" si="0"/>
        <v>A09B_21.1_SQL_Update_Opt_Out_To_Unsubscriber_Preferences_Email</v>
      </c>
      <c r="B22" s="37" t="str">
        <f>CONCATENATE("A",Activities[[#This Row],[AutoID]],"_",TEXT(Activities[[#This Row],[Step]],"##00.0"),"_",Activities[[#This Row],[ActType]])</f>
        <v>A09B_21.1_SQL</v>
      </c>
      <c r="C22" s="22">
        <v>21.1</v>
      </c>
      <c r="D22" s="36" t="str">
        <f>CONCATENATE(Activities[[#This Row],[Step]],"__",Activities[[#This Row],[ActivityName]],"__",Activities[[#This Row],[ActType]])</f>
        <v>21.1__Update_Opt_Out_To_Unsubscriber_Preferences_Email__SQL</v>
      </c>
      <c r="E22" s="14" t="s">
        <v>574</v>
      </c>
      <c r="F22" t="s">
        <v>341</v>
      </c>
      <c r="G22" t="s">
        <v>436</v>
      </c>
      <c r="H22" t="s">
        <v>575</v>
      </c>
      <c r="I22" t="s">
        <v>4</v>
      </c>
      <c r="J22" s="14" t="s">
        <v>576</v>
      </c>
      <c r="K22" s="14" t="s">
        <v>488</v>
      </c>
      <c r="L22" s="14" t="s">
        <v>575</v>
      </c>
      <c r="M22" s="14" t="s">
        <v>71</v>
      </c>
      <c r="N22" t="s">
        <v>4</v>
      </c>
      <c r="O22" s="14" t="s">
        <v>383</v>
      </c>
      <c r="P22" t="s">
        <v>356</v>
      </c>
      <c r="Q22" t="s">
        <v>384</v>
      </c>
    </row>
    <row r="23" spans="1:20">
      <c r="A23" s="37" t="str">
        <f t="shared" si="0"/>
        <v>A09B_22.1_SQL_Add_Opt_Out_To_Audit_Preferences_From_Unsubscribe_Pref_Email</v>
      </c>
      <c r="B23" s="37" t="str">
        <f>CONCATENATE("A",Activities[[#This Row],[AutoID]],"_",TEXT(Activities[[#This Row],[Step]],"##00.0"),"_",Activities[[#This Row],[ActType]])</f>
        <v>A09B_22.1_SQL</v>
      </c>
      <c r="C23" s="22">
        <v>22.1</v>
      </c>
      <c r="D23" s="36" t="str">
        <f>CONCATENATE(Activities[[#This Row],[Step]],"__",Activities[[#This Row],[ActivityName]],"__",Activities[[#This Row],[ActType]])</f>
        <v>22.1__Add_Opt_Out_To_Audit_Preferences_From_Unsubscribe_Pref_Email__SQL</v>
      </c>
      <c r="E23" s="14" t="s">
        <v>577</v>
      </c>
      <c r="F23" t="s">
        <v>341</v>
      </c>
      <c r="G23" t="s">
        <v>436</v>
      </c>
      <c r="H23" t="s">
        <v>578</v>
      </c>
      <c r="I23" t="s">
        <v>4</v>
      </c>
      <c r="J23" s="14" t="s">
        <v>579</v>
      </c>
      <c r="K23" s="14" t="s">
        <v>488</v>
      </c>
      <c r="L23" s="14" t="s">
        <v>580</v>
      </c>
      <c r="M23" s="14" t="s">
        <v>71</v>
      </c>
      <c r="N23" t="s">
        <v>4</v>
      </c>
      <c r="O23" s="14" t="s">
        <v>367</v>
      </c>
      <c r="P23" s="14" t="s">
        <v>368</v>
      </c>
      <c r="Q23" t="s">
        <v>384</v>
      </c>
    </row>
    <row r="24" spans="1:20">
      <c r="A24" s="37" t="str">
        <f t="shared" si="0"/>
        <v>A09B_23.1_SQL_Update_Opt_Out_To_Unsubscriber_From_All_Preferences</v>
      </c>
      <c r="B24" s="37" t="str">
        <f>CONCATENATE("A",Activities[[#This Row],[AutoID]],"_",TEXT(Activities[[#This Row],[Step]],"##00.0"),"_",Activities[[#This Row],[ActType]])</f>
        <v>A09B_23.1_SQL</v>
      </c>
      <c r="C24" s="22">
        <v>23.1</v>
      </c>
      <c r="D24" s="36" t="str">
        <f>CONCATENATE(Activities[[#This Row],[Step]],"__",Activities[[#This Row],[ActivityName]],"__",Activities[[#This Row],[ActType]])</f>
        <v>23.1__Update_Opt_Out_To_Unsubscriber_From_All_Preferences__SQL</v>
      </c>
      <c r="E24" s="14" t="s">
        <v>581</v>
      </c>
      <c r="F24" t="s">
        <v>341</v>
      </c>
      <c r="G24" t="s">
        <v>436</v>
      </c>
      <c r="H24" t="s">
        <v>582</v>
      </c>
      <c r="I24" t="s">
        <v>4</v>
      </c>
      <c r="J24" s="14" t="s">
        <v>583</v>
      </c>
      <c r="K24" t="s">
        <v>488</v>
      </c>
      <c r="L24" t="s">
        <v>582</v>
      </c>
      <c r="M24" s="14" t="s">
        <v>71</v>
      </c>
      <c r="N24" t="s">
        <v>4</v>
      </c>
      <c r="O24" s="14" t="s">
        <v>363</v>
      </c>
      <c r="P24" t="s">
        <v>356</v>
      </c>
      <c r="Q24" t="s">
        <v>378</v>
      </c>
    </row>
    <row r="25" spans="1:20">
      <c r="A25" s="37" t="str">
        <f t="shared" si="0"/>
        <v>A09B_24.1_SQL_Add_Opt_Out_To_Audit_Preferences_From_Unsubscribe_From_All_DE</v>
      </c>
      <c r="B25" s="37" t="str">
        <f>CONCATENATE("A",Activities[[#This Row],[AutoID]],"_",TEXT(Activities[[#This Row],[Step]],"##00.0"),"_",Activities[[#This Row],[ActType]])</f>
        <v>A09B_24.1_SQL</v>
      </c>
      <c r="C25" s="22">
        <v>24.1</v>
      </c>
      <c r="D25" s="36" t="str">
        <f>CONCATENATE(Activities[[#This Row],[Step]],"__",Activities[[#This Row],[ActivityName]],"__",Activities[[#This Row],[ActType]])</f>
        <v>24.1__Add_Opt_Out_To_Audit_Preferences_From_Unsubscribe_From_All_DE__SQL</v>
      </c>
      <c r="E25" s="14" t="s">
        <v>584</v>
      </c>
      <c r="F25" t="s">
        <v>341</v>
      </c>
      <c r="G25" t="s">
        <v>436</v>
      </c>
      <c r="H25" t="s">
        <v>585</v>
      </c>
      <c r="I25" t="s">
        <v>4</v>
      </c>
      <c r="J25" s="14" t="s">
        <v>586</v>
      </c>
      <c r="K25" s="14" t="s">
        <v>488</v>
      </c>
      <c r="L25" t="s">
        <v>585</v>
      </c>
      <c r="M25" s="14" t="s">
        <v>71</v>
      </c>
      <c r="N25" t="s">
        <v>4</v>
      </c>
      <c r="O25" s="14" t="s">
        <v>367</v>
      </c>
      <c r="P25" s="14" t="s">
        <v>368</v>
      </c>
      <c r="Q25" t="s">
        <v>378</v>
      </c>
    </row>
    <row r="26" spans="1:20">
      <c r="A26" s="37" t="str">
        <f t="shared" si="0"/>
        <v>A09B_25.1_SQL_Add_Sales_Cloud_Unsubscribe_To_RecordKeeper_Unsub_Pref_Email_DE</v>
      </c>
      <c r="B26" s="37" t="str">
        <f>CONCATENATE("A",Activities[[#This Row],[AutoID]],"_",TEXT(Activities[[#This Row],[Step]],"##00.0"),"_",Activities[[#This Row],[ActType]])</f>
        <v>A09B_25.1_SQL</v>
      </c>
      <c r="C26" s="22">
        <v>25.1</v>
      </c>
      <c r="D26" s="36" t="str">
        <f>CONCATENATE(Activities[[#This Row],[Step]],"__",Activities[[#This Row],[ActivityName]],"__",Activities[[#This Row],[ActType]])</f>
        <v>25.1__Add_Sales_Cloud_Unsubscribe_To_RecordKeeper_Unsub_Pref_Email_DE__SQL</v>
      </c>
      <c r="E26" s="14" t="s">
        <v>587</v>
      </c>
      <c r="F26" t="s">
        <v>341</v>
      </c>
      <c r="G26" t="s">
        <v>436</v>
      </c>
      <c r="H26" t="s">
        <v>588</v>
      </c>
      <c r="I26" t="s">
        <v>4</v>
      </c>
      <c r="J26" s="14" t="s">
        <v>589</v>
      </c>
      <c r="K26" s="14" t="s">
        <v>488</v>
      </c>
      <c r="L26" s="14" t="s">
        <v>590</v>
      </c>
      <c r="M26" s="14" t="s">
        <v>71</v>
      </c>
      <c r="N26" t="s">
        <v>4</v>
      </c>
      <c r="O26" s="14" t="s">
        <v>376</v>
      </c>
      <c r="P26" s="14" t="s">
        <v>368</v>
      </c>
      <c r="Q26" t="s">
        <v>384</v>
      </c>
    </row>
    <row r="27" spans="1:20">
      <c r="A27" s="37" t="str">
        <f t="shared" si="0"/>
        <v>A09B_26.1_SQL_Add_Sales_Cloud_Unsubscribe_To_RecordKeeper_Unsub_From_All_DE</v>
      </c>
      <c r="B27" s="37" t="str">
        <f>CONCATENATE("A",Activities[[#This Row],[AutoID]],"_",TEXT(Activities[[#This Row],[Step]],"##00.0"),"_",Activities[[#This Row],[ActType]])</f>
        <v>A09B_26.1_SQL</v>
      </c>
      <c r="C27" s="22">
        <v>26.1</v>
      </c>
      <c r="D27" s="36" t="str">
        <f>CONCATENATE(Activities[[#This Row],[Step]],"__",Activities[[#This Row],[ActivityName]],"__",Activities[[#This Row],[ActType]])</f>
        <v>26.1__Add_Sales_Cloud_Unsubscribe_To_RecordKeeper_Unsub_From_All_DE__SQL</v>
      </c>
      <c r="E27" s="14" t="s">
        <v>591</v>
      </c>
      <c r="F27" t="s">
        <v>341</v>
      </c>
      <c r="G27" t="s">
        <v>436</v>
      </c>
      <c r="H27" t="s">
        <v>592</v>
      </c>
      <c r="I27" t="s">
        <v>4</v>
      </c>
      <c r="J27" s="14" t="s">
        <v>593</v>
      </c>
      <c r="K27" s="14" t="s">
        <v>488</v>
      </c>
      <c r="L27" s="14" t="s">
        <v>594</v>
      </c>
      <c r="M27" s="14" t="s">
        <v>71</v>
      </c>
      <c r="N27" t="s">
        <v>4</v>
      </c>
      <c r="O27" s="14" t="s">
        <v>376</v>
      </c>
      <c r="P27" s="14" t="s">
        <v>368</v>
      </c>
      <c r="Q27" t="s">
        <v>378</v>
      </c>
    </row>
    <row r="28" spans="1:20">
      <c r="A28" s="37" t="str">
        <f t="shared" si="0"/>
        <v>A09B_27.1_SQL_SQL_Preferences-Remove_duplicates_With_Associated_Email</v>
      </c>
      <c r="B28" s="37" t="str">
        <f>CONCATENATE("A",Activities[[#This Row],[AutoID]],"_",TEXT(Activities[[#This Row],[Step]],"##00.0"),"_",Activities[[#This Row],[ActType]])</f>
        <v>A09B_27.1_SQL</v>
      </c>
      <c r="C28" s="22">
        <v>27.1</v>
      </c>
      <c r="D28" s="36" t="str">
        <f>CONCATENATE(Activities[[#This Row],[Step]],"__",Activities[[#This Row],[ActivityName]],"__",Activities[[#This Row],[ActType]])</f>
        <v>27.1__SQL_Preferences-Remove_duplicates_With_Associated_Email__SQL</v>
      </c>
      <c r="E28" s="14" t="s">
        <v>595</v>
      </c>
      <c r="F28" t="s">
        <v>341</v>
      </c>
      <c r="G28" t="s">
        <v>436</v>
      </c>
      <c r="H28" t="s">
        <v>596</v>
      </c>
      <c r="I28" t="s">
        <v>4</v>
      </c>
      <c r="J28" s="14" t="s">
        <v>597</v>
      </c>
      <c r="K28" s="14" t="s">
        <v>488</v>
      </c>
      <c r="L28" s="14" t="s">
        <v>598</v>
      </c>
      <c r="M28" s="14" t="s">
        <v>71</v>
      </c>
      <c r="N28" t="s">
        <v>4</v>
      </c>
      <c r="O28" s="14" t="s">
        <v>394</v>
      </c>
      <c r="P28" t="s">
        <v>342</v>
      </c>
      <c r="Q28" t="s">
        <v>378</v>
      </c>
    </row>
    <row r="29" spans="1:20">
      <c r="A29" s="37" t="str">
        <f t="shared" si="0"/>
        <v>A09B_28.1_SCRIPT_Flip_active_to_unsub_remove_from_Subscriber_PreferencesEmail</v>
      </c>
      <c r="B29" s="37" t="str">
        <f>CONCATENATE("A",Activities[[#This Row],[AutoID]],"_",TEXT(Activities[[#This Row],[Step]],"##00.0"),"_",Activities[[#This Row],[ActType]])</f>
        <v>A09B_28.1_SCRIPT</v>
      </c>
      <c r="C29" s="22">
        <v>28.1</v>
      </c>
      <c r="D29" s="36" t="str">
        <f>CONCATENATE(Activities[[#This Row],[Step]],"__",Activities[[#This Row],[ActivityName]],"__",Activities[[#This Row],[ActType]])</f>
        <v>28.1__Flip_active_to_unsub_remove_from_Subscriber_PreferencesEmail__SCRIPT</v>
      </c>
      <c r="E29" s="14" t="s">
        <v>599</v>
      </c>
      <c r="F29" t="s">
        <v>461</v>
      </c>
      <c r="G29" t="s">
        <v>436</v>
      </c>
      <c r="H29" t="s">
        <v>600</v>
      </c>
      <c r="I29" t="s">
        <v>4</v>
      </c>
      <c r="J29" s="14" t="s">
        <v>601</v>
      </c>
      <c r="K29" s="14" t="s">
        <v>533</v>
      </c>
      <c r="M29" s="14" t="s">
        <v>71</v>
      </c>
      <c r="N29" t="s">
        <v>4</v>
      </c>
      <c r="O29" t="s">
        <v>384</v>
      </c>
      <c r="P29" t="s">
        <v>498</v>
      </c>
    </row>
    <row r="30" spans="1:20">
      <c r="A30" s="37" t="str">
        <f t="shared" si="0"/>
        <v>A09B_29.1_WAIT_WAIT - 5 MIN</v>
      </c>
      <c r="B30" s="37" t="str">
        <f>CONCATENATE("A",Activities[[#This Row],[AutoID]],"_",TEXT(Activities[[#This Row],[Step]],"##00.0"),"_",Activities[[#This Row],[ActType]])</f>
        <v>A09B_29.1_WAIT</v>
      </c>
      <c r="C30" s="22">
        <v>29.1</v>
      </c>
      <c r="D30" s="36" t="str">
        <f>CONCATENATE(Activities[[#This Row],[Step]],"__",Activities[[#This Row],[ActivityName]],"__",Activities[[#This Row],[ActType]])</f>
        <v>29.1__WAIT - 5 MIN__WAIT</v>
      </c>
      <c r="E30" s="14" t="s">
        <v>550</v>
      </c>
      <c r="F30" t="s">
        <v>471</v>
      </c>
      <c r="G30" t="s">
        <v>436</v>
      </c>
      <c r="I30" t="s">
        <v>4</v>
      </c>
      <c r="J30" s="14" t="s">
        <v>81</v>
      </c>
      <c r="K30" s="14" t="s">
        <v>81</v>
      </c>
      <c r="L30" s="14" t="s">
        <v>81</v>
      </c>
      <c r="M30" s="14" t="s">
        <v>71</v>
      </c>
      <c r="N30" t="s">
        <v>4</v>
      </c>
      <c r="O30" s="14" t="s">
        <v>81</v>
      </c>
      <c r="P30" s="14" t="s">
        <v>81</v>
      </c>
      <c r="Q30" s="14" t="s">
        <v>81</v>
      </c>
    </row>
    <row r="31" spans="1:20">
      <c r="A31" s="37" t="str">
        <f t="shared" si="0"/>
        <v>A09B_30.1_SQL_
Consent-ExpiredUnsubscribeAllLinkClicks</v>
      </c>
      <c r="B31" s="37" t="str">
        <f>CONCATENATE("A",Activities[[#This Row],[AutoID]],"_",TEXT(Activities[[#This Row],[Step]],"##00.0"),"_",Activities[[#This Row],[ActType]])</f>
        <v>A09B_30.1_SQL</v>
      </c>
      <c r="C31" s="22">
        <v>30.1</v>
      </c>
      <c r="D31" s="36" t="str">
        <f>CONCATENATE(Activities[[#This Row],[Step]],"__",Activities[[#This Row],[ActivityName]],"__",Activities[[#This Row],[ActType]])</f>
        <v>30.1__
Consent-ExpiredUnsubscribeAllLinkClicks__SQL</v>
      </c>
      <c r="E31" s="14" t="s">
        <v>602</v>
      </c>
      <c r="F31" t="s">
        <v>341</v>
      </c>
      <c r="G31" t="s">
        <v>436</v>
      </c>
      <c r="I31" t="s">
        <v>4</v>
      </c>
      <c r="J31" s="14" t="s">
        <v>603</v>
      </c>
      <c r="K31" s="14" t="s">
        <v>604</v>
      </c>
      <c r="M31" s="14" t="s">
        <v>71</v>
      </c>
      <c r="N31" t="s">
        <v>4</v>
      </c>
      <c r="O31" s="14" t="s">
        <v>396</v>
      </c>
      <c r="P31" s="14" t="s">
        <v>342</v>
      </c>
      <c r="Q31" t="s">
        <v>397</v>
      </c>
    </row>
    <row r="32" spans="1:20" ht="21.5">
      <c r="A32" s="37" t="str">
        <f t="shared" si="0"/>
        <v>A09B_31.1_DataExtract_
ConsentUpdates-ExpiredUnsubscribeLinkClicks_DataExtract</v>
      </c>
      <c r="B32" s="37" t="str">
        <f>CONCATENATE("A",Activities[[#This Row],[AutoID]],"_",TEXT(Activities[[#This Row],[Step]],"##00.0"),"_",Activities[[#This Row],[ActType]])</f>
        <v>A09B_31.1_DataExtract</v>
      </c>
      <c r="C32" s="22">
        <v>31.1</v>
      </c>
      <c r="D32" s="37" t="str">
        <f>CONCATENATE(Activities[[#This Row],[Step]],"__",Activities[[#This Row],[ActivityName]],"__",Activities[[#This Row],[ActType]])</f>
        <v>31.1__
ConsentUpdates-ExpiredUnsubscribeLinkClicks_DataExtract__DataExtract</v>
      </c>
      <c r="E32" t="s">
        <v>605</v>
      </c>
      <c r="F32" t="s">
        <v>504</v>
      </c>
      <c r="G32" t="s">
        <v>436</v>
      </c>
      <c r="I32" t="s">
        <v>4</v>
      </c>
      <c r="J32" s="26" t="s">
        <v>606</v>
      </c>
      <c r="L32" t="s">
        <v>607</v>
      </c>
      <c r="M32" s="14" t="s">
        <v>71</v>
      </c>
      <c r="N32" t="s">
        <v>4</v>
      </c>
      <c r="O32" t="s">
        <v>508</v>
      </c>
      <c r="P32" s="14" t="s">
        <v>509</v>
      </c>
      <c r="Q32" s="14" t="s">
        <v>399</v>
      </c>
      <c r="R32" s="16" t="s">
        <v>608</v>
      </c>
    </row>
    <row r="33" spans="1:20" ht="21.5">
      <c r="A33" s="37" t="str">
        <f t="shared" si="0"/>
        <v>A09B_32.1_FileTransfer_ConsentUpdates-ExpiredUnsubscribeLinkClicks_SubscriberImport</v>
      </c>
      <c r="B33" s="37" t="str">
        <f>CONCATENATE("A",Activities[[#This Row],[AutoID]],"_",TEXT(Activities[[#This Row],[Step]],"##00.0"),"_",Activities[[#This Row],[ActType]])</f>
        <v>A09B_32.1_FileTransfer</v>
      </c>
      <c r="C33" s="22">
        <v>32.1</v>
      </c>
      <c r="D33" s="36" t="str">
        <f>CONCATENATE(Activities[[#This Row],[Step]],"__",Activities[[#This Row],[ActivityName]],"__",Activities[[#This Row],[ActType]])</f>
        <v>32.1__ConsentUpdates-ExpiredUnsubscribeLinkClicks_SubscriberImport__FileTransfer</v>
      </c>
      <c r="E33" s="14" t="s">
        <v>609</v>
      </c>
      <c r="F33" t="s">
        <v>514</v>
      </c>
      <c r="G33" t="s">
        <v>436</v>
      </c>
      <c r="I33" t="s">
        <v>4</v>
      </c>
      <c r="J33" s="14" t="s">
        <v>610</v>
      </c>
      <c r="L33" t="s">
        <v>611</v>
      </c>
      <c r="M33" s="14" t="s">
        <v>71</v>
      </c>
      <c r="N33" t="s">
        <v>4</v>
      </c>
      <c r="O33" t="s">
        <v>508</v>
      </c>
      <c r="P33" s="14" t="s">
        <v>517</v>
      </c>
      <c r="Q33" s="16" t="s">
        <v>608</v>
      </c>
      <c r="R33" s="16" t="s">
        <v>608</v>
      </c>
      <c r="S33" s="14" t="s">
        <v>612</v>
      </c>
    </row>
    <row r="34" spans="1:20" ht="31.5">
      <c r="A34" s="37" t="str">
        <f t="shared" ref="A34:A62" si="1">CONCATENATE("A",M34,"_",C34,"_",F34,"_",E34)</f>
        <v>A09B_33.1_DataImport_ConsentUpdates-ExpiredUnsubscribeLinkClicks_SubscriberImport</v>
      </c>
      <c r="B34" s="37" t="str">
        <f>CONCATENATE("A",Activities[[#This Row],[AutoID]],"_",TEXT(Activities[[#This Row],[Step]],"##00.0"),"_",Activities[[#This Row],[ActType]])</f>
        <v>A09B_33.1_DataImport</v>
      </c>
      <c r="C34" s="22">
        <v>33.1</v>
      </c>
      <c r="D34" s="36" t="str">
        <f>CONCATENATE(Activities[[#This Row],[Step]],"__",Activities[[#This Row],[ActivityName]],"__",Activities[[#This Row],[ActType]])</f>
        <v>33.1__ConsentUpdates-ExpiredUnsubscribeLinkClicks_SubscriberImport__DataImport</v>
      </c>
      <c r="E34" s="14" t="s">
        <v>609</v>
      </c>
      <c r="F34" t="s">
        <v>520</v>
      </c>
      <c r="G34" t="s">
        <v>436</v>
      </c>
      <c r="I34" t="s">
        <v>4</v>
      </c>
      <c r="J34" s="14" t="s">
        <v>613</v>
      </c>
      <c r="L34" t="s">
        <v>614</v>
      </c>
      <c r="M34" s="14" t="s">
        <v>71</v>
      </c>
      <c r="N34" t="s">
        <v>4</v>
      </c>
      <c r="O34" s="23" t="s">
        <v>524</v>
      </c>
      <c r="P34" s="16" t="s">
        <v>615</v>
      </c>
      <c r="Q34" s="16" t="s">
        <v>608</v>
      </c>
      <c r="R34" s="16" t="s">
        <v>608</v>
      </c>
      <c r="S34" s="14" t="s">
        <v>612</v>
      </c>
      <c r="T34" s="16" t="s">
        <v>616</v>
      </c>
    </row>
    <row r="35" spans="1:20">
      <c r="A35" s="37" t="str">
        <f t="shared" si="1"/>
        <v>A09B_34.1_SQL_Consent-UpdateProcessedData</v>
      </c>
      <c r="B35" s="37" t="str">
        <f>CONCATENATE("A",Activities[[#This Row],[AutoID]],"_",TEXT(Activities[[#This Row],[Step]],"##00.0"),"_",Activities[[#This Row],[ActType]])</f>
        <v>A09B_34.1_SQL</v>
      </c>
      <c r="C35" s="22">
        <v>34.1</v>
      </c>
      <c r="D35" s="36" t="str">
        <f>CONCATENATE(Activities[[#This Row],[Step]],"__",Activities[[#This Row],[ActivityName]],"__",Activities[[#This Row],[ActType]])</f>
        <v>34.1__Consent-UpdateProcessedData__SQL</v>
      </c>
      <c r="E35" s="14" t="s">
        <v>617</v>
      </c>
      <c r="F35" t="s">
        <v>341</v>
      </c>
      <c r="G35" t="s">
        <v>436</v>
      </c>
      <c r="I35" t="s">
        <v>4</v>
      </c>
      <c r="J35" s="14" t="s">
        <v>618</v>
      </c>
      <c r="K35" s="14" t="s">
        <v>604</v>
      </c>
      <c r="M35" s="14" t="s">
        <v>71</v>
      </c>
      <c r="N35" t="s">
        <v>4</v>
      </c>
      <c r="O35" s="14" t="s">
        <v>397</v>
      </c>
      <c r="P35" t="s">
        <v>356</v>
      </c>
      <c r="Q35" t="s">
        <v>399</v>
      </c>
    </row>
    <row r="36" spans="1:20">
      <c r="A36" s="37" t="str">
        <f t="shared" si="1"/>
        <v>A09B_35.1_SQL_UnsubscribedSubscribers</v>
      </c>
      <c r="B36" s="37" t="str">
        <f>CONCATENATE("A",Activities[[#This Row],[AutoID]],"_",TEXT(Activities[[#This Row],[Step]],"##00.0"),"_",Activities[[#This Row],[ActType]])</f>
        <v>A09B_35.1_SQL</v>
      </c>
      <c r="C36" s="22">
        <v>35.1</v>
      </c>
      <c r="D36" s="36" t="str">
        <f>CONCATENATE(Activities[[#This Row],[Step]],"__",Activities[[#This Row],[ActivityName]],"__",Activities[[#This Row],[ActType]])</f>
        <v>35.1__UnsubscribedSubscribers__SQL</v>
      </c>
      <c r="E36" s="14" t="s">
        <v>401</v>
      </c>
      <c r="F36" t="s">
        <v>341</v>
      </c>
      <c r="G36" t="s">
        <v>436</v>
      </c>
      <c r="H36" t="s">
        <v>619</v>
      </c>
      <c r="I36" t="s">
        <v>4</v>
      </c>
      <c r="J36" s="14" t="s">
        <v>620</v>
      </c>
      <c r="K36" s="14" t="s">
        <v>548</v>
      </c>
      <c r="M36" s="14" t="s">
        <v>71</v>
      </c>
      <c r="N36" t="s">
        <v>4</v>
      </c>
      <c r="O36" s="14" t="s">
        <v>401</v>
      </c>
      <c r="P36" s="14" t="s">
        <v>342</v>
      </c>
      <c r="Q36" t="s">
        <v>352</v>
      </c>
    </row>
    <row r="37" spans="1:20" ht="21.5">
      <c r="A37" s="37" t="str">
        <f t="shared" si="1"/>
        <v>A09B_36.1_SCRIPT_RealTimeIFDConsentStatus</v>
      </c>
      <c r="B37" s="37" t="str">
        <f>CONCATENATE("A",Activities[[#This Row],[AutoID]],"_",TEXT(Activities[[#This Row],[Step]],"##00.0"),"_",Activities[[#This Row],[ActType]])</f>
        <v>A09B_36.1_SCRIPT</v>
      </c>
      <c r="C37" s="22">
        <v>36.1</v>
      </c>
      <c r="D37" s="36" t="str">
        <f>CONCATENATE(Activities[[#This Row],[Step]],"__",Activities[[#This Row],[ActivityName]],"__",Activities[[#This Row],[ActType]])</f>
        <v>36.1__RealTimeIFDConsentStatus__SCRIPT</v>
      </c>
      <c r="E37" s="14" t="s">
        <v>621</v>
      </c>
      <c r="F37" t="s">
        <v>461</v>
      </c>
      <c r="G37" t="s">
        <v>436</v>
      </c>
      <c r="H37" t="s">
        <v>622</v>
      </c>
      <c r="I37" t="s">
        <v>4</v>
      </c>
      <c r="J37" s="16" t="s">
        <v>623</v>
      </c>
      <c r="K37" s="14" t="s">
        <v>533</v>
      </c>
      <c r="M37" s="14" t="s">
        <v>71</v>
      </c>
      <c r="N37" t="s">
        <v>4</v>
      </c>
      <c r="O37" s="14"/>
    </row>
    <row r="38" spans="1:20">
      <c r="A38" s="37" t="str">
        <f t="shared" si="1"/>
        <v>A09B_37.1_SQL_Add_PrimaryEmailRecords_To_OptOut_From_Sales_Cloud</v>
      </c>
      <c r="B38" s="37" t="str">
        <f>CONCATENATE("A",Activities[[#This Row],[AutoID]],"_",TEXT(Activities[[#This Row],[Step]],"##00.0"),"_",Activities[[#This Row],[ActType]])</f>
        <v>A09B_37.1_SQL</v>
      </c>
      <c r="C38" s="22">
        <v>37.1</v>
      </c>
      <c r="D38" s="36" t="str">
        <f>CONCATENATE(Activities[[#This Row],[Step]],"__",Activities[[#This Row],[ActivityName]],"__",Activities[[#This Row],[ActType]])</f>
        <v>37.1__Add_PrimaryEmailRecords_To_OptOut_From_Sales_Cloud__SQL</v>
      </c>
      <c r="E38" s="14" t="s">
        <v>624</v>
      </c>
      <c r="F38" t="s">
        <v>341</v>
      </c>
      <c r="G38" t="s">
        <v>436</v>
      </c>
      <c r="H38" t="s">
        <v>625</v>
      </c>
      <c r="I38" t="s">
        <v>4</v>
      </c>
      <c r="J38" s="14" t="s">
        <v>626</v>
      </c>
      <c r="K38" s="14" t="s">
        <v>548</v>
      </c>
      <c r="L38" s="14" t="s">
        <v>625</v>
      </c>
      <c r="M38" s="14" t="s">
        <v>71</v>
      </c>
      <c r="N38" t="s">
        <v>4</v>
      </c>
      <c r="O38" s="14" t="s">
        <v>403</v>
      </c>
      <c r="P38" s="14" t="s">
        <v>342</v>
      </c>
      <c r="Q38" t="s">
        <v>404</v>
      </c>
    </row>
    <row r="39" spans="1:20">
      <c r="A39" s="37" t="str">
        <f t="shared" si="1"/>
        <v>A09B_38.1_SQL_Update_Associated_Email_From_All_Subscribers</v>
      </c>
      <c r="B39" s="37" t="str">
        <f>CONCATENATE("A",Activities[[#This Row],[AutoID]],"_",TEXT(Activities[[#This Row],[Step]],"##00.0"),"_",Activities[[#This Row],[ActType]])</f>
        <v>A09B_38.1_SQL</v>
      </c>
      <c r="C39" s="22">
        <v>38.1</v>
      </c>
      <c r="D39" s="36" t="str">
        <f>CONCATENATE(Activities[[#This Row],[Step]],"__",Activities[[#This Row],[ActivityName]],"__",Activities[[#This Row],[ActType]])</f>
        <v>38.1__Update_Associated_Email_From_All_Subscribers__SQL</v>
      </c>
      <c r="E39" s="14" t="s">
        <v>627</v>
      </c>
      <c r="F39" t="s">
        <v>341</v>
      </c>
      <c r="G39" t="s">
        <v>436</v>
      </c>
      <c r="H39" t="s">
        <v>628</v>
      </c>
      <c r="I39" t="s">
        <v>4</v>
      </c>
      <c r="J39" s="14" t="s">
        <v>629</v>
      </c>
      <c r="K39" s="14" t="s">
        <v>488</v>
      </c>
      <c r="M39" s="14" t="s">
        <v>71</v>
      </c>
      <c r="N39" t="s">
        <v>4</v>
      </c>
      <c r="O39" s="14" t="s">
        <v>404</v>
      </c>
      <c r="P39" t="s">
        <v>356</v>
      </c>
      <c r="Q39" t="s">
        <v>347</v>
      </c>
    </row>
    <row r="40" spans="1:20">
      <c r="A40" s="37" t="str">
        <f t="shared" si="1"/>
        <v>A09B_39.1_SQL_Unsubscribe_Associated_Email_From_All_Subscribers</v>
      </c>
      <c r="B40" s="37" t="str">
        <f>CONCATENATE("A",Activities[[#This Row],[AutoID]],"_",TEXT(Activities[[#This Row],[Step]],"##00.0"),"_",Activities[[#This Row],[ActType]])</f>
        <v>A09B_39.1_SQL</v>
      </c>
      <c r="C40" s="22">
        <v>39.1</v>
      </c>
      <c r="D40" s="36" t="str">
        <f>CONCATENATE(Activities[[#This Row],[Step]],"__",Activities[[#This Row],[ActivityName]],"__",Activities[[#This Row],[ActType]])</f>
        <v>39.1__Unsubscribe_Associated_Email_From_All_Subscribers__SQL</v>
      </c>
      <c r="E40" s="14" t="s">
        <v>630</v>
      </c>
      <c r="F40" t="s">
        <v>341</v>
      </c>
      <c r="G40" t="s">
        <v>436</v>
      </c>
      <c r="H40" t="s">
        <v>631</v>
      </c>
      <c r="I40" t="s">
        <v>4</v>
      </c>
      <c r="J40" s="14" t="s">
        <v>632</v>
      </c>
      <c r="K40" s="14" t="s">
        <v>488</v>
      </c>
      <c r="M40" s="14" t="s">
        <v>71</v>
      </c>
      <c r="N40" t="s">
        <v>4</v>
      </c>
      <c r="O40" s="14" t="s">
        <v>410</v>
      </c>
      <c r="P40" s="14" t="s">
        <v>342</v>
      </c>
      <c r="Q40" t="s">
        <v>404</v>
      </c>
    </row>
    <row r="41" spans="1:20">
      <c r="A41" s="37" t="str">
        <f t="shared" si="1"/>
        <v>A09B_40.1_DataExtract_Unsubscribe_Record_W_AssociatedEmails</v>
      </c>
      <c r="B41" s="37" t="str">
        <f>CONCATENATE("A",Activities[[#This Row],[AutoID]],"_",TEXT(Activities[[#This Row],[Step]],"##00.0"),"_",Activities[[#This Row],[ActType]])</f>
        <v>A09B_40.1_DataExtract</v>
      </c>
      <c r="C41" s="22">
        <v>40.1</v>
      </c>
      <c r="D41" s="36" t="str">
        <f>CONCATENATE(Activities[[#This Row],[Step]],"__",Activities[[#This Row],[ActivityName]],"__",Activities[[#This Row],[ActType]])</f>
        <v>40.1__Unsubscribe_Record_W_AssociatedEmails__DataExtract</v>
      </c>
      <c r="E41" s="14" t="s">
        <v>410</v>
      </c>
      <c r="F41" t="s">
        <v>504</v>
      </c>
      <c r="G41" t="s">
        <v>436</v>
      </c>
      <c r="H41" t="s">
        <v>633</v>
      </c>
      <c r="I41" t="s">
        <v>4</v>
      </c>
      <c r="J41" s="14" t="s">
        <v>634</v>
      </c>
      <c r="L41" t="s">
        <v>635</v>
      </c>
      <c r="M41" s="14" t="s">
        <v>71</v>
      </c>
      <c r="N41" t="s">
        <v>4</v>
      </c>
      <c r="O41" t="s">
        <v>508</v>
      </c>
      <c r="P41" s="14" t="s">
        <v>509</v>
      </c>
      <c r="Q41" t="s">
        <v>636</v>
      </c>
      <c r="R41" s="14" t="s">
        <v>637</v>
      </c>
    </row>
    <row r="42" spans="1:20" ht="21.5">
      <c r="A42" s="37" t="str">
        <f t="shared" si="1"/>
        <v>A09B_41.1_FileTransfer_Unsubscribe_Record_W_AssociatedEmails</v>
      </c>
      <c r="B42" s="37" t="str">
        <f>CONCATENATE("A",Activities[[#This Row],[AutoID]],"_",TEXT(Activities[[#This Row],[Step]],"##00.0"),"_",Activities[[#This Row],[ActType]])</f>
        <v>A09B_41.1_FileTransfer</v>
      </c>
      <c r="C42" s="22">
        <v>41.1</v>
      </c>
      <c r="D42" s="36" t="str">
        <f>CONCATENATE(Activities[[#This Row],[Step]],"__",Activities[[#This Row],[ActivityName]],"__",Activities[[#This Row],[ActType]])</f>
        <v>41.1__Unsubscribe_Record_W_AssociatedEmails__FileTransfer</v>
      </c>
      <c r="E42" s="14" t="s">
        <v>410</v>
      </c>
      <c r="F42" t="s">
        <v>514</v>
      </c>
      <c r="G42" t="s">
        <v>436</v>
      </c>
      <c r="H42" t="s">
        <v>638</v>
      </c>
      <c r="I42" t="s">
        <v>4</v>
      </c>
      <c r="J42" s="16" t="s">
        <v>639</v>
      </c>
      <c r="L42" s="14" t="s">
        <v>638</v>
      </c>
      <c r="M42" s="14" t="s">
        <v>71</v>
      </c>
      <c r="N42" t="s">
        <v>4</v>
      </c>
      <c r="O42" t="s">
        <v>508</v>
      </c>
      <c r="P42" s="14" t="s">
        <v>517</v>
      </c>
      <c r="Q42" s="14" t="s">
        <v>637</v>
      </c>
      <c r="R42" s="14" t="s">
        <v>637</v>
      </c>
      <c r="S42" s="16" t="s">
        <v>640</v>
      </c>
    </row>
    <row r="43" spans="1:20" ht="130.5">
      <c r="A43" s="37" t="str">
        <f t="shared" si="1"/>
        <v>A09B_42.1_DataImport_Unsubscribe_Record_W_AssociatedEmails</v>
      </c>
      <c r="B43" s="37" t="str">
        <f>CONCATENATE("A",Activities[[#This Row],[AutoID]],"_",TEXT(Activities[[#This Row],[Step]],"##00.0"),"_",Activities[[#This Row],[ActType]])</f>
        <v>A09B_42.1_DataImport</v>
      </c>
      <c r="C43" s="22">
        <v>42.1</v>
      </c>
      <c r="D43" s="36" t="str">
        <f>CONCATENATE(Activities[[#This Row],[Step]],"__",Activities[[#This Row],[ActivityName]],"__",Activities[[#This Row],[ActType]])</f>
        <v>42.1__Unsubscribe_Record_W_AssociatedEmails__DataImport</v>
      </c>
      <c r="E43" s="14" t="s">
        <v>410</v>
      </c>
      <c r="F43" t="s">
        <v>520</v>
      </c>
      <c r="G43" t="s">
        <v>436</v>
      </c>
      <c r="H43" t="s">
        <v>521</v>
      </c>
      <c r="I43" t="s">
        <v>4</v>
      </c>
      <c r="J43" s="14" t="s">
        <v>641</v>
      </c>
      <c r="L43" s="21" t="s">
        <v>642</v>
      </c>
      <c r="M43" s="14" t="s">
        <v>71</v>
      </c>
      <c r="N43" t="s">
        <v>4</v>
      </c>
      <c r="O43" s="23" t="s">
        <v>524</v>
      </c>
      <c r="P43" s="14" t="s">
        <v>573</v>
      </c>
      <c r="Q43" s="14" t="s">
        <v>637</v>
      </c>
      <c r="R43" s="14" t="s">
        <v>637</v>
      </c>
      <c r="S43" s="16" t="s">
        <v>640</v>
      </c>
    </row>
    <row r="44" spans="1:20">
      <c r="A44" s="37" t="str">
        <f t="shared" si="1"/>
        <v>A09B_43.1_SQL_Update_PrimaryEmailRecords_From_Unsubscribe_Record</v>
      </c>
      <c r="B44" s="37" t="str">
        <f>CONCATENATE("A",Activities[[#This Row],[AutoID]],"_",TEXT(Activities[[#This Row],[Step]],"##00.0"),"_",Activities[[#This Row],[ActType]])</f>
        <v>A09B_43.1_SQL</v>
      </c>
      <c r="C44" s="22">
        <v>43.1</v>
      </c>
      <c r="D44" s="36" t="str">
        <f>CONCATENATE(Activities[[#This Row],[Step]],"__",Activities[[#This Row],[ActivityName]],"__",Activities[[#This Row],[ActType]])</f>
        <v>43.1__Update_PrimaryEmailRecords_From_Unsubscribe_Record__SQL</v>
      </c>
      <c r="E44" s="14" t="s">
        <v>643</v>
      </c>
      <c r="F44" t="s">
        <v>341</v>
      </c>
      <c r="G44" t="s">
        <v>436</v>
      </c>
      <c r="H44" t="s">
        <v>644</v>
      </c>
      <c r="I44" t="s">
        <v>4</v>
      </c>
      <c r="J44" s="14" t="s">
        <v>645</v>
      </c>
      <c r="K44" s="14" t="s">
        <v>488</v>
      </c>
      <c r="L44" s="14" t="s">
        <v>644</v>
      </c>
      <c r="M44" s="14" t="s">
        <v>71</v>
      </c>
      <c r="N44" t="s">
        <v>4</v>
      </c>
      <c r="O44" s="14" t="s">
        <v>410</v>
      </c>
      <c r="P44" s="14" t="s">
        <v>356</v>
      </c>
      <c r="Q44" t="s">
        <v>404</v>
      </c>
    </row>
    <row r="45" spans="1:20">
      <c r="A45" s="37" t="str">
        <f t="shared" si="1"/>
        <v>A09B_44.1_SCRIPT_1_Click_Unsubscribe_IFD_OptintoOptOut</v>
      </c>
      <c r="B45" s="37" t="str">
        <f>CONCATENATE("A",Activities[[#This Row],[AutoID]],"_",TEXT(Activities[[#This Row],[Step]],"##00.0"),"_",Activities[[#This Row],[ActType]])</f>
        <v>A09B_44.1_SCRIPT</v>
      </c>
      <c r="C45" s="22">
        <v>44.1</v>
      </c>
      <c r="D45" s="36" t="str">
        <f>CONCATENATE(Activities[[#This Row],[Step]],"__",Activities[[#This Row],[ActivityName]],"__",Activities[[#This Row],[ActType]])</f>
        <v>44.1__1_Click_Unsubscribe_IFD_OptintoOptOut__SCRIPT</v>
      </c>
      <c r="E45" s="14" t="s">
        <v>646</v>
      </c>
      <c r="F45" t="s">
        <v>461</v>
      </c>
      <c r="G45" t="s">
        <v>436</v>
      </c>
      <c r="H45" t="s">
        <v>647</v>
      </c>
      <c r="I45" t="s">
        <v>4</v>
      </c>
      <c r="J45" s="14" t="s">
        <v>648</v>
      </c>
      <c r="K45" s="14" t="s">
        <v>533</v>
      </c>
      <c r="M45" s="14" t="s">
        <v>71</v>
      </c>
      <c r="N45" t="s">
        <v>4</v>
      </c>
      <c r="O45" s="14" t="s">
        <v>649</v>
      </c>
    </row>
    <row r="46" spans="1:20">
      <c r="A46" s="37" t="str">
        <f t="shared" si="1"/>
        <v>A09B_45.1_SQL_Update_Unsubscriber_Preferences_Email</v>
      </c>
      <c r="B46" s="37" t="str">
        <f>CONCATENATE("A",Activities[[#This Row],[AutoID]],"_",TEXT(Activities[[#This Row],[Step]],"##00.0"),"_",Activities[[#This Row],[ActType]])</f>
        <v>A09B_45.1_SQL</v>
      </c>
      <c r="C46" s="22">
        <v>45.1</v>
      </c>
      <c r="D46" s="36" t="str">
        <f>CONCATENATE(Activities[[#This Row],[Step]],"__",Activities[[#This Row],[ActivityName]],"__",Activities[[#This Row],[ActType]])</f>
        <v>45.1__Update_Unsubscriber_Preferences_Email__SQL</v>
      </c>
      <c r="E46" s="14" t="s">
        <v>650</v>
      </c>
      <c r="F46" t="s">
        <v>341</v>
      </c>
      <c r="G46" t="s">
        <v>436</v>
      </c>
      <c r="H46" t="s">
        <v>651</v>
      </c>
      <c r="I46" t="s">
        <v>4</v>
      </c>
      <c r="J46" s="14" t="s">
        <v>652</v>
      </c>
      <c r="K46" s="14" t="s">
        <v>488</v>
      </c>
      <c r="L46" s="14" t="s">
        <v>651</v>
      </c>
      <c r="M46" s="14" t="s">
        <v>71</v>
      </c>
      <c r="N46" t="s">
        <v>4</v>
      </c>
      <c r="O46" s="14" t="s">
        <v>383</v>
      </c>
      <c r="P46" s="14" t="s">
        <v>356</v>
      </c>
      <c r="Q46" t="s">
        <v>384</v>
      </c>
    </row>
    <row r="47" spans="1:20">
      <c r="A47" s="37" t="str">
        <f t="shared" si="1"/>
        <v>A09B_46.1_SQL_Add_Unsubscribe_To_Audit_Preferences_From_Unsubscribe_Pref_Email</v>
      </c>
      <c r="B47" s="37" t="str">
        <f>CONCATENATE("A",Activities[[#This Row],[AutoID]],"_",TEXT(Activities[[#This Row],[Step]],"##00.0"),"_",Activities[[#This Row],[ActType]])</f>
        <v>A09B_46.1_SQL</v>
      </c>
      <c r="C47" s="22">
        <v>46.1</v>
      </c>
      <c r="D47" s="36" t="str">
        <f>CONCATENATE(Activities[[#This Row],[Step]],"__",Activities[[#This Row],[ActivityName]],"__",Activities[[#This Row],[ActType]])</f>
        <v>46.1__Add_Unsubscribe_To_Audit_Preferences_From_Unsubscribe_Pref_Email__SQL</v>
      </c>
      <c r="E47" s="14" t="s">
        <v>653</v>
      </c>
      <c r="F47" t="s">
        <v>341</v>
      </c>
      <c r="G47" t="s">
        <v>436</v>
      </c>
      <c r="H47" t="s">
        <v>654</v>
      </c>
      <c r="I47" t="s">
        <v>4</v>
      </c>
      <c r="J47" s="14" t="s">
        <v>655</v>
      </c>
      <c r="K47" s="14" t="s">
        <v>488</v>
      </c>
      <c r="L47" s="14" t="s">
        <v>656</v>
      </c>
      <c r="M47" s="14" t="s">
        <v>71</v>
      </c>
      <c r="N47" t="s">
        <v>4</v>
      </c>
      <c r="O47" s="14" t="s">
        <v>367</v>
      </c>
      <c r="P47" s="14" t="s">
        <v>368</v>
      </c>
      <c r="Q47" t="s">
        <v>384</v>
      </c>
    </row>
    <row r="48" spans="1:20">
      <c r="A48" s="37" t="str">
        <f t="shared" si="1"/>
        <v>A09B_47.1_SQL_Update_Unsubscribe_From_All_Preferences</v>
      </c>
      <c r="B48" s="37" t="str">
        <f>CONCATENATE("A",Activities[[#This Row],[AutoID]],"_",TEXT(Activities[[#This Row],[Step]],"##00.0"),"_",Activities[[#This Row],[ActType]])</f>
        <v>A09B_47.1_SQL</v>
      </c>
      <c r="C48" s="22">
        <v>47.1</v>
      </c>
      <c r="D48" s="36" t="str">
        <f>CONCATENATE(Activities[[#This Row],[Step]],"__",Activities[[#This Row],[ActivityName]],"__",Activities[[#This Row],[ActType]])</f>
        <v>47.1__Update_Unsubscribe_From_All_Preferences__SQL</v>
      </c>
      <c r="E48" s="14" t="s">
        <v>657</v>
      </c>
      <c r="F48" t="s">
        <v>341</v>
      </c>
      <c r="G48" t="s">
        <v>436</v>
      </c>
      <c r="H48" t="s">
        <v>658</v>
      </c>
      <c r="I48" t="s">
        <v>4</v>
      </c>
      <c r="J48" s="14" t="s">
        <v>659</v>
      </c>
      <c r="K48" s="14" t="s">
        <v>488</v>
      </c>
      <c r="L48" s="14" t="s">
        <v>660</v>
      </c>
      <c r="M48" s="14" t="s">
        <v>71</v>
      </c>
      <c r="N48" t="s">
        <v>4</v>
      </c>
      <c r="O48" s="14" t="s">
        <v>363</v>
      </c>
      <c r="P48" s="14" t="s">
        <v>356</v>
      </c>
      <c r="Q48" t="s">
        <v>410</v>
      </c>
    </row>
    <row r="49" spans="1:19">
      <c r="A49" s="37" t="str">
        <f t="shared" si="1"/>
        <v>A09B_48.1_SQL_Add_Unsubscribes_To_Audit_Preferences_From_Unsubscribe_From_All</v>
      </c>
      <c r="B49" s="37" t="str">
        <f>CONCATENATE("A",Activities[[#This Row],[AutoID]],"_",TEXT(Activities[[#This Row],[Step]],"##00.0"),"_",Activities[[#This Row],[ActType]])</f>
        <v>A09B_48.1_SQL</v>
      </c>
      <c r="C49" s="22">
        <v>48.1</v>
      </c>
      <c r="D49" s="36" t="str">
        <f>CONCATENATE(Activities[[#This Row],[Step]],"__",Activities[[#This Row],[ActivityName]],"__",Activities[[#This Row],[ActType]])</f>
        <v>48.1__Add_Unsubscribes_To_Audit_Preferences_From_Unsubscribe_From_All__SQL</v>
      </c>
      <c r="E49" s="14" t="s">
        <v>661</v>
      </c>
      <c r="F49" t="s">
        <v>341</v>
      </c>
      <c r="G49" t="s">
        <v>436</v>
      </c>
      <c r="H49" t="s">
        <v>662</v>
      </c>
      <c r="I49" t="s">
        <v>4</v>
      </c>
      <c r="J49" s="14" t="s">
        <v>663</v>
      </c>
      <c r="K49" s="14" t="s">
        <v>488</v>
      </c>
      <c r="L49" s="14" t="s">
        <v>664</v>
      </c>
      <c r="M49" s="14" t="s">
        <v>71</v>
      </c>
      <c r="N49" t="s">
        <v>4</v>
      </c>
      <c r="O49" s="14" t="s">
        <v>367</v>
      </c>
      <c r="P49" s="14" t="s">
        <v>368</v>
      </c>
      <c r="Q49" t="s">
        <v>410</v>
      </c>
    </row>
    <row r="50" spans="1:19">
      <c r="A50" s="37" t="str">
        <f t="shared" si="1"/>
        <v>A09B_49.1_SCRIPT_
1_Click_Unsubscribe_Remove_From_Subscriber_Preferences_Email_DE</v>
      </c>
      <c r="B50" s="37" t="str">
        <f>CONCATENATE("A",Activities[[#This Row],[AutoID]],"_",TEXT(Activities[[#This Row],[Step]],"##00.0"),"_",Activities[[#This Row],[ActType]])</f>
        <v>A09B_49.1_SCRIPT</v>
      </c>
      <c r="C50" s="22">
        <v>49.1</v>
      </c>
      <c r="D50" s="36" t="str">
        <f>CONCATENATE(Activities[[#This Row],[Step]],"__",Activities[[#This Row],[ActivityName]],"__",Activities[[#This Row],[ActType]])</f>
        <v>49.1__
1_Click_Unsubscribe_Remove_From_Subscriber_Preferences_Email_DE__SCRIPT</v>
      </c>
      <c r="E50" s="14" t="s">
        <v>665</v>
      </c>
      <c r="F50" t="s">
        <v>461</v>
      </c>
      <c r="G50" t="s">
        <v>436</v>
      </c>
      <c r="H50" t="s">
        <v>600</v>
      </c>
      <c r="I50" t="s">
        <v>4</v>
      </c>
      <c r="J50" s="14" t="s">
        <v>666</v>
      </c>
      <c r="K50" s="14" t="s">
        <v>533</v>
      </c>
      <c r="L50" s="14" t="s">
        <v>667</v>
      </c>
      <c r="M50" s="14" t="s">
        <v>71</v>
      </c>
      <c r="N50" t="s">
        <v>4</v>
      </c>
      <c r="O50" s="14" t="s">
        <v>356</v>
      </c>
      <c r="P50" t="s">
        <v>498</v>
      </c>
      <c r="Q50" t="s">
        <v>668</v>
      </c>
    </row>
    <row r="51" spans="1:19">
      <c r="A51" s="37" t="str">
        <f t="shared" si="1"/>
        <v>A09B_50.1_SQL_Add 1-Click_Unsubscribe_To_RecordKeeper</v>
      </c>
      <c r="B51" s="37" t="str">
        <f>CONCATENATE("A",Activities[[#This Row],[AutoID]],"_",TEXT(Activities[[#This Row],[Step]],"##00.0"),"_",Activities[[#This Row],[ActType]])</f>
        <v>A09B_50.1_SQL</v>
      </c>
      <c r="C51" s="22">
        <v>50.1</v>
      </c>
      <c r="D51" s="36" t="str">
        <f>CONCATENATE(Activities[[#This Row],[Step]],"__",Activities[[#This Row],[ActivityName]],"__",Activities[[#This Row],[ActType]])</f>
        <v>50.1__Add 1-Click_Unsubscribe_To_RecordKeeper__SQL</v>
      </c>
      <c r="E51" s="14" t="s">
        <v>669</v>
      </c>
      <c r="F51" t="s">
        <v>341</v>
      </c>
      <c r="G51" t="s">
        <v>436</v>
      </c>
      <c r="H51" t="s">
        <v>670</v>
      </c>
      <c r="I51" t="s">
        <v>4</v>
      </c>
      <c r="J51" s="14" t="s">
        <v>671</v>
      </c>
      <c r="K51" s="14" t="s">
        <v>488</v>
      </c>
      <c r="L51" s="14" t="s">
        <v>670</v>
      </c>
      <c r="M51" s="14" t="s">
        <v>71</v>
      </c>
      <c r="N51" t="s">
        <v>4</v>
      </c>
      <c r="O51" s="14" t="s">
        <v>376</v>
      </c>
      <c r="P51" s="14" t="s">
        <v>368</v>
      </c>
      <c r="Q51" t="s">
        <v>410</v>
      </c>
    </row>
    <row r="52" spans="1:19">
      <c r="A52" s="37" t="str">
        <f t="shared" si="1"/>
        <v>A09B_51.1_SQL_Consent_Status_Pending</v>
      </c>
      <c r="B52" s="37" t="str">
        <f>CONCATENATE("A",Activities[[#This Row],[AutoID]],"_",TEXT(Activities[[#This Row],[Step]],"##00.0"),"_",Activities[[#This Row],[ActType]])</f>
        <v>A09B_51.1_SQL</v>
      </c>
      <c r="C52" s="22">
        <v>51.1</v>
      </c>
      <c r="D52" s="36" t="str">
        <f>CONCATENATE(Activities[[#This Row],[Step]],"__",Activities[[#This Row],[ActivityName]],"__",Activities[[#This Row],[ActType]])</f>
        <v>51.1__Consent_Status_Pending__SQL</v>
      </c>
      <c r="E52" s="14" t="s">
        <v>422</v>
      </c>
      <c r="F52" t="s">
        <v>341</v>
      </c>
      <c r="G52" t="s">
        <v>436</v>
      </c>
      <c r="I52" t="s">
        <v>4</v>
      </c>
      <c r="J52" s="14" t="s">
        <v>672</v>
      </c>
      <c r="K52" s="14" t="s">
        <v>488</v>
      </c>
      <c r="M52" s="14" t="s">
        <v>71</v>
      </c>
      <c r="N52" t="s">
        <v>4</v>
      </c>
      <c r="O52" s="14" t="s">
        <v>422</v>
      </c>
      <c r="P52" s="14" t="s">
        <v>342</v>
      </c>
      <c r="Q52" t="s">
        <v>24</v>
      </c>
    </row>
    <row r="53" spans="1:19">
      <c r="A53" s="37" t="str">
        <f t="shared" si="1"/>
        <v>A09B_52.1_SCRIPT_Consent_Status_Update</v>
      </c>
      <c r="B53" s="37" t="str">
        <f>CONCATENATE("A",Activities[[#This Row],[AutoID]],"_",TEXT(Activities[[#This Row],[Step]],"##00.0"),"_",Activities[[#This Row],[ActType]])</f>
        <v>A09B_52.1_SCRIPT</v>
      </c>
      <c r="C53" s="22">
        <v>52.1</v>
      </c>
      <c r="D53" s="36" t="str">
        <f>CONCATENATE(Activities[[#This Row],[Step]],"__",Activities[[#This Row],[ActivityName]],"__",Activities[[#This Row],[ActType]])</f>
        <v>52.1__Consent_Status_Update__SCRIPT</v>
      </c>
      <c r="E53" s="14" t="s">
        <v>673</v>
      </c>
      <c r="F53" t="s">
        <v>461</v>
      </c>
      <c r="G53" t="s">
        <v>436</v>
      </c>
      <c r="I53" t="s">
        <v>4</v>
      </c>
      <c r="J53" s="14" t="s">
        <v>674</v>
      </c>
      <c r="K53" s="14" t="s">
        <v>675</v>
      </c>
      <c r="M53" s="14" t="s">
        <v>71</v>
      </c>
      <c r="N53" t="s">
        <v>4</v>
      </c>
      <c r="O53" s="14" t="s">
        <v>676</v>
      </c>
      <c r="Q53" t="s">
        <v>676</v>
      </c>
    </row>
    <row r="54" spans="1:19">
      <c r="A54" s="37" t="str">
        <f t="shared" si="1"/>
        <v>A09B_53.1_VERIF_VERIF - Remaining_Optin_Records_From_UnsubscribeFromAllPreferences</v>
      </c>
      <c r="B54" s="37" t="str">
        <f>CONCATENATE("A",Activities[[#This Row],[AutoID]],"_",TEXT(Activities[[#This Row],[Step]],"##00.0"),"_",Activities[[#This Row],[ActType]])</f>
        <v>A09B_53.1_VERIF</v>
      </c>
      <c r="C54" s="22">
        <v>53.1</v>
      </c>
      <c r="D54" s="36" t="str">
        <f>CONCATENATE(Activities[[#This Row],[Step]],"__",Activities[[#This Row],[ActivityName]],"__",Activities[[#This Row],[ActType]])</f>
        <v>53.1__VERIF - Remaining_Optin_Records_From_UnsubscribeFromAllPreferences__VERIF</v>
      </c>
      <c r="E54" s="14" t="s">
        <v>677</v>
      </c>
      <c r="F54" t="s">
        <v>472</v>
      </c>
      <c r="G54" t="s">
        <v>436</v>
      </c>
      <c r="I54" t="s">
        <v>4</v>
      </c>
      <c r="J54" s="14"/>
      <c r="M54" s="14" t="s">
        <v>71</v>
      </c>
      <c r="N54" t="s">
        <v>4</v>
      </c>
      <c r="O54" s="14"/>
      <c r="P54" t="s">
        <v>678</v>
      </c>
      <c r="Q54" s="24" t="s">
        <v>365</v>
      </c>
      <c r="S54" s="25" t="s">
        <v>679</v>
      </c>
    </row>
    <row r="55" spans="1:19">
      <c r="A55" s="37" t="str">
        <f t="shared" si="1"/>
        <v>A___</v>
      </c>
      <c r="B55" s="37" t="str">
        <f>CONCATENATE("A",Activities[[#This Row],[AutoID]],"_",TEXT(Activities[[#This Row],[Step]],"##00.0"),"_",Activities[[#This Row],[ActType]])</f>
        <v>A_00.0_</v>
      </c>
      <c r="D55" s="36" t="str">
        <f>CONCATENATE(Activities[[#This Row],[Step]],"__",Activities[[#This Row],[ActivityName]],"__",Activities[[#This Row],[ActType]])</f>
        <v>____</v>
      </c>
      <c r="E55" s="14"/>
      <c r="G55" s="14"/>
      <c r="J55" s="14"/>
      <c r="M55" s="14"/>
      <c r="N55" t="s">
        <v>4</v>
      </c>
      <c r="O55" s="14"/>
    </row>
    <row r="56" spans="1:19">
      <c r="A56" s="37" t="str">
        <f t="shared" si="1"/>
        <v>A___</v>
      </c>
      <c r="B56" s="37" t="str">
        <f>CONCATENATE("A",Activities[[#This Row],[AutoID]],"_",TEXT(Activities[[#This Row],[Step]],"##00.0"),"_",Activities[[#This Row],[ActType]])</f>
        <v>A_00.0_</v>
      </c>
      <c r="D56" s="36" t="str">
        <f>CONCATENATE(Activities[[#This Row],[Step]],"__",Activities[[#This Row],[ActivityName]],"__",Activities[[#This Row],[ActType]])</f>
        <v>____</v>
      </c>
      <c r="E56" s="14"/>
      <c r="G56" s="14"/>
      <c r="I56" t="s">
        <v>4</v>
      </c>
      <c r="J56" s="14"/>
      <c r="M56" s="14"/>
      <c r="N56" t="s">
        <v>4</v>
      </c>
      <c r="O56" s="14"/>
    </row>
    <row r="57" spans="1:19">
      <c r="A57" s="37" t="str">
        <f t="shared" si="1"/>
        <v>A___</v>
      </c>
      <c r="B57" s="37" t="str">
        <f>CONCATENATE("A",Activities[[#This Row],[AutoID]],"_",TEXT(Activities[[#This Row],[Step]],"##00.0"),"_",Activities[[#This Row],[ActType]])</f>
        <v>A_00.0_</v>
      </c>
      <c r="D57" s="36" t="str">
        <f>CONCATENATE(Activities[[#This Row],[Step]],"__",Activities[[#This Row],[ActivityName]],"__",Activities[[#This Row],[ActType]])</f>
        <v>____</v>
      </c>
      <c r="E57" s="14"/>
      <c r="G57" s="14"/>
      <c r="J57" s="14"/>
      <c r="M57" s="14"/>
      <c r="O57" s="14"/>
    </row>
    <row r="58" spans="1:19">
      <c r="A58" s="37" t="str">
        <f t="shared" si="1"/>
        <v>A___</v>
      </c>
      <c r="B58" s="37" t="str">
        <f>CONCATENATE("A",Activities[[#This Row],[AutoID]],"_",TEXT(Activities[[#This Row],[Step]],"##00.0"),"_",Activities[[#This Row],[ActType]])</f>
        <v>A_00.0_</v>
      </c>
      <c r="D58" s="36" t="str">
        <f>CONCATENATE(Activities[[#This Row],[Step]],"__",Activities[[#This Row],[ActivityName]],"__",Activities[[#This Row],[ActType]])</f>
        <v>____</v>
      </c>
      <c r="E58" s="14"/>
      <c r="G58" s="14"/>
      <c r="J58" s="14"/>
      <c r="M58" s="14"/>
      <c r="O58" s="14"/>
    </row>
    <row r="59" spans="1:19">
      <c r="A59" s="37" t="str">
        <f t="shared" si="1"/>
        <v>A___</v>
      </c>
      <c r="B59" s="37" t="str">
        <f>CONCATENATE("A",Activities[[#This Row],[AutoID]],"_",TEXT(Activities[[#This Row],[Step]],"##00.0"),"_",Activities[[#This Row],[ActType]])</f>
        <v>A_00.0_</v>
      </c>
      <c r="D59" s="36" t="str">
        <f>CONCATENATE(Activities[[#This Row],[Step]],"__",Activities[[#This Row],[ActivityName]],"__",Activities[[#This Row],[ActType]])</f>
        <v>____</v>
      </c>
      <c r="E59" s="14"/>
      <c r="G59" s="14"/>
      <c r="J59" s="14"/>
      <c r="M59" s="14"/>
      <c r="O59" s="14"/>
    </row>
    <row r="60" spans="1:19">
      <c r="A60" s="37" t="str">
        <f t="shared" si="1"/>
        <v>A___</v>
      </c>
      <c r="B60" s="37" t="str">
        <f>CONCATENATE("A",Activities[[#This Row],[AutoID]],"_",TEXT(Activities[[#This Row],[Step]],"##00.0"),"_",Activities[[#This Row],[ActType]])</f>
        <v>A_00.0_</v>
      </c>
      <c r="D60" s="36" t="str">
        <f>CONCATENATE(Activities[[#This Row],[Step]],"__",Activities[[#This Row],[ActivityName]],"__",Activities[[#This Row],[ActType]])</f>
        <v>____</v>
      </c>
      <c r="E60" s="14"/>
      <c r="G60" s="14"/>
      <c r="J60" s="14"/>
      <c r="M60" s="14"/>
      <c r="O60" s="14"/>
    </row>
    <row r="61" spans="1:19">
      <c r="A61" s="37" t="str">
        <f t="shared" si="1"/>
        <v>A___</v>
      </c>
      <c r="B61" s="37" t="str">
        <f>CONCATENATE("A",Activities[[#This Row],[AutoID]],"_",TEXT(Activities[[#This Row],[Step]],"##00.0"),"_",Activities[[#This Row],[ActType]])</f>
        <v>A_00.0_</v>
      </c>
      <c r="D61" s="36" t="str">
        <f>CONCATENATE(Activities[[#This Row],[Step]],"__",Activities[[#This Row],[ActivityName]],"__",Activities[[#This Row],[ActType]])</f>
        <v>____</v>
      </c>
      <c r="E61" s="14"/>
      <c r="G61" s="14"/>
      <c r="J61" s="14"/>
      <c r="M61" s="14"/>
      <c r="O61" s="14"/>
    </row>
    <row r="62" spans="1:19">
      <c r="A62" s="37" t="str">
        <f t="shared" si="1"/>
        <v>A___</v>
      </c>
      <c r="B62" s="37" t="str">
        <f>CONCATENATE("A",Activities[[#This Row],[AutoID]],"_",TEXT(Activities[[#This Row],[Step]],"##00.0"),"_",Activities[[#This Row],[ActType]])</f>
        <v>A_00.0_</v>
      </c>
      <c r="D62" s="36" t="str">
        <f>CONCATENATE(Activities[[#This Row],[Step]],"__",Activities[[#This Row],[ActivityName]],"__",Activities[[#This Row],[ActType]])</f>
        <v>____</v>
      </c>
      <c r="E62" s="14"/>
      <c r="G62" s="14"/>
      <c r="J62" s="14"/>
      <c r="M62" s="14"/>
      <c r="O62" s="14"/>
    </row>
  </sheetData>
  <dataValidations count="1">
    <dataValidation allowBlank="1" showInputMessage="1" showErrorMessage="1" sqref="J8:J9 D12:D14 H1:I1048576 J53:J1048576 J43 J24 J1:J4 D37:D42 D65 D44:D52 D31:D35 D25:D29 D16:D23 D5:D10 C1:E1048576" xr:uid="{F9EFE62B-BC6E-4F68-A985-BEAD3626B593}"/>
  </dataValidations>
  <hyperlinks>
    <hyperlink ref="S54" r:id="rId1" xr:uid="{2F8E7402-8FDD-47AA-9A96-875B1DD23616}"/>
  </hyperlinks>
  <pageMargins left="0.7" right="0.7" top="0.75" bottom="0.75" header="0.3" footer="0.3"/>
  <customProperties>
    <customPr name="OrphanNamesChecked" r:id="rId2"/>
  </customProperties>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C162F1D9-B1E6-4D58-8AC7-50751EDE29E8}">
          <x14:formula1>
            <xm:f>REFERENCE!$N:$N</xm:f>
          </x14:formula1>
          <xm:sqref>G1:G1048576</xm:sqref>
        </x14:dataValidation>
        <x14:dataValidation type="list" allowBlank="1" showInputMessage="1" showErrorMessage="1" xr:uid="{FA9709CA-DDBA-4755-84D8-BCF36ACAF219}">
          <x14:formula1>
            <xm:f>REFERENCE!$L:$L</xm:f>
          </x14:formula1>
          <xm:sqref>M1:M1048576</xm:sqref>
        </x14:dataValidation>
        <x14:dataValidation type="list" allowBlank="1" showInputMessage="1" showErrorMessage="1" xr:uid="{48C1AAA8-4991-4F7C-978E-7AE7322754E9}">
          <x14:formula1>
            <xm:f>REFERENCE!$C:$C</xm:f>
          </x14:formula1>
          <xm:sqref>G1:G1048576 F1:F1048576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Extensions</vt:lpstr>
      <vt:lpstr>Automations</vt:lpstr>
      <vt:lpstr>AutoREF</vt:lpstr>
      <vt:lpstr>MAP_DE_ACT_SQL</vt:lpstr>
      <vt:lpstr>Automation Improvement Ideas</vt:lpstr>
      <vt:lpstr>REFERENCE</vt:lpstr>
      <vt:lpstr>Followup</vt:lpstr>
      <vt:lpstr>Activities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Starr, Nathalie</dc:creator>
  <cp:keywords/>
  <dc:description/>
  <cp:lastModifiedBy>Kurl, Megha</cp:lastModifiedBy>
  <cp:revision/>
  <dcterms:created xsi:type="dcterms:W3CDTF">2026-09-16T20:36:29Z</dcterms:created>
  <dcterms:modified xsi:type="dcterms:W3CDTF">2026-10-21T07:34:12Z</dcterms:modified>
  <cp:category/>
  <cp:contentStatus/>
</cp:coreProperties>
</file>